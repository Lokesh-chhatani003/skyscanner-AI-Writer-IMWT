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corecard" sheetId="1" r:id="rId1"/>
    <sheet name="Detailed Finding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<sst xmlns="http://schemas.openxmlformats.org/spreadsheetml/2006/main" count="1064" uniqueCount="593">
  <si>
    <t>Language:</t>
  </si>
  <si>
    <t>PL</t>
  </si>
  <si>
    <t>Evaluated Scope:</t>
  </si>
  <si>
    <t>DOCX heading-based batches (250 batches; window=10)</t>
  </si>
  <si>
    <t>Pass Threshold:</t>
  </si>
  <si>
    <t>90%</t>
  </si>
  <si>
    <t>Final MQM Score</t>
  </si>
  <si>
    <t>Quality Status</t>
  </si>
  <si>
    <t>Fail</t>
  </si>
  <si>
    <t>WC</t>
  </si>
  <si>
    <t>Minor</t>
  </si>
  <si>
    <t>Major</t>
  </si>
  <si>
    <t>Critical</t>
  </si>
  <si>
    <t>Total</t>
  </si>
  <si>
    <t>APT (Total Points)</t>
  </si>
  <si>
    <t>PWPT</t>
  </si>
  <si>
    <t>Critical Issues</t>
  </si>
  <si>
    <t>Category</t>
  </si>
  <si>
    <t>APT</t>
  </si>
  <si>
    <t>MQM</t>
  </si>
  <si>
    <t>Grammar</t>
  </si>
  <si>
    <t>Compliance</t>
  </si>
  <si>
    <t>Punctuation/Spelling/Typos</t>
  </si>
  <si>
    <t>Accuracy</t>
  </si>
  <si>
    <t>Style</t>
  </si>
  <si>
    <t>AI-issues</t>
  </si>
  <si>
    <t>Summary (top patterns)</t>
  </si>
  <si>
    <t>• [Accuracy] Widespread use of incorrect currency (e.g., PLN for services in the US, UK, or Eurozone) and units (km/h without mph) creates significant user confusion.
• [Compliance] Direct-address pronouns (e.g., 'ci', 'twoje', 'twoim') are systematically left in lowercase, violating a core Polish style guide rule for politeness.
• [Accuracy] Several articles contain major logical contradictions, such as conflicting minimum age requirements for renting vs. driving, which misleads users.
• [Compliance] There are frequent inconsistencies in brand names (e.g., 'CARFREE', 'Klasswagen.com') and terminology that deviates from the glossary (e.g., 'manualną' vs. 'ręczną').
• [Style] Content is often presented in long, dense paragraphs that combine multiple distinct topics, negatively affecting readability and scannability.
• [Grammar] Basic grammatical errors recur, particularly the incorrect declension of numerals (e.g., 'sześciu wypożyczalni' instead of 'sześć').</t>
  </si>
  <si>
    <t>Action Plan (preventive)</t>
  </si>
  <si>
    <t>• Implement a localization pre-flight check to ensure all currency symbols (€, $, £) and measurement units (mph, miles) are correct for the target locale.
• Reinforce the rule to capitalize all direct-address pronouns (Ty, Ci, Twój, etc.) in the Polish style guide and add it to the QA checklist.
• Mandate a logical consistency check during editing to eliminate contradictory information, especially for critical details like rental requirements.
• Enforce strict adherence to a centralized termbase for all brand names, product names, and approved technical terms to ensure consistency.
• Establish a clear 'one idea per paragraph' guideline for all web content to improve structure and user experience.
• Review basic Polish grammar rules with the team, focusing on numeral declension and common agreement errors.</t>
  </si>
  <si>
    <t>Source File</t>
  </si>
  <si>
    <t>Candidate</t>
  </si>
  <si>
    <t>text</t>
  </si>
  <si>
    <t>issue</t>
  </si>
  <si>
    <t>type_of_issue</t>
  </si>
  <si>
    <t>severity</t>
  </si>
  <si>
    <t>score_deduction</t>
  </si>
  <si>
    <t>solution</t>
  </si>
  <si>
    <t>updated_sentence</t>
  </si>
  <si>
    <t>2026-2027-pl-car-hire-city-06.docx</t>
  </si>
  <si>
    <t>https://www.skyscanner.pl/wynajem-samochodow-w/wynajem-samochodow-w-lizbona/27544072.html</t>
  </si>
  <si>
    <t>Porównując oferty różnych wypożyczalni w Skyscanner, możesz sprawdzić, które modele mieszczą się w Twoim budżecie.</t>
  </si>
  <si>
    <t>The direct-address pronoun 'Twoim' is not capitalized, which violates the locale-specific style guide.</t>
  </si>
  <si>
    <t>Capitalize the pronoun 'Twoim' to 'Twoim' as required for direct address.</t>
  </si>
  <si>
    <t>Jeśli szukasz podobnie kompaktowej opcji, Green Motion oferuje Fiata Pandę ze skrzynią ręczną od 27 zł za dobę.</t>
  </si>
  <si>
    <t>The currency 'zł' (Polish Złoty) is incorrect for the specified location, Lisbon, where the official currency is the Euro (€). This pattern repeats for all prices in the paragraph.</t>
  </si>
  <si>
    <t>Replace the 'zł' currency symbol with '€' for all prices mentioned.</t>
  </si>
  <si>
    <t>Jeśli szukasz podobnie kompaktowej opcji, Green Motion oferuje Fiata Pandę ze skrzynią ręczną od 27 € za dobę.</t>
  </si>
  <si>
    <t>Osoby potrzebujące większego bagażnika mogą rozważyć Peugeota 3008 od tego samego dostawcy, z manualną przekładnią, w cenie od 43 zł za dobę.</t>
  </si>
  <si>
    <t>The term 'manualną przekładnią' is inconsistent with 'ręczną skrzynią biegów' used earlier in the text and deviates from the glossary terms 'manual' (ręczna) and 'transmission' (skrzynia biegów).</t>
  </si>
  <si>
    <t>Replace 'manualną przekładnią' with 'ręczną skrzynią biegów' to align with the glossary and ensure internal consistency.</t>
  </si>
  <si>
    <t>Osoby potrzebujące większego bagażnika mogą rozważyć Peugeota 3008 od tego samego dostawcy, z ręczną skrzynią biegów, w cenie od 43 € za dobę.</t>
  </si>
  <si>
    <t>W Lizbonie dostępnych jest sześciu dostawców wypożyczalni samochodów.</t>
  </si>
  <si>
    <t>The phrase 'dostawców wypożyczalni samochodów' is redundant, as 'wypożyczalnia samochodów' (car rental company) is already a provider.</t>
  </si>
  <si>
    <t>Remove the redundant word 'dostawców' and update the numeral's grammatical case to 'sześć' to agree with 'wypożyczalni'.</t>
  </si>
  <si>
    <t>W Lizbonie dostępnych jest sześć wypożyczalni samochodów.</t>
  </si>
  <si>
    <t>Opłaty pobierane są w tradycyjnych punktach poboru lub, na elektronicznych trasach „Via Verde”, wyłącznie za pomocą kamer i przedpłaconych transponderów, bez możliwości płatności gotówką.</t>
  </si>
  <si>
    <t>The sentence contains superfluous commas around the phrase 'na elektronicznych trasach „Via Verde”', which disrupts the grammatical flow of the sentence.</t>
  </si>
  <si>
    <t>Remove the unnecessary commas before and after the phrase 'na elektronicznych trasach „Via Verde”' to correct the sentence structure.</t>
  </si>
  <si>
    <t>Opłaty pobierane są w tradycyjnych punktach poboru lub na elektronicznych trasach „Via Verde” wyłącznie za pomocą kamer i przedpłaconych transponderów, bez możliwości płatności gotówką.</t>
  </si>
  <si>
    <t>https://www.skyscanner.pl/wynajem-samochodow-w/wynajem-samochodow-w-brindisi/27538714.html</t>
  </si>
  <si>
    <t>Najniższe stawki pojawiają się zwykle w listopadzie, więc warto zaplanować podróż na ten miesiąc, jeśli zależy ci na oszczędności.</t>
  </si>
  <si>
    <t>The direct-address pronoun 'ci' is not capitalized, which violates the mandatory style guide rule.</t>
  </si>
  <si>
    <t>Capitalize the pronoun to 'Ci' as required by the Polish style guide for direct address.</t>
  </si>
  <si>
    <t>Najniższe stawki pojawiają się zwykle w listopadzie, więc warto zaplanować podróż na ten miesiąc, jeśli zależy Ci na oszczędności.</t>
  </si>
  <si>
    <t>W Brindisi dostępnych jest sześciu wypożyczalni samochodów.</t>
  </si>
  <si>
    <t>The numeral 'sześciu' (genitive case) is used incorrectly; the structure 'jest + numeral' requires the nominative case 'sześć'.</t>
  </si>
  <si>
    <t>Change the numeral 'sześciu' to its correct nominative form 'sześć'.</t>
  </si>
  <si>
    <t>W Brindisi dostępnych jest sześć wypożyczalni samochodów.</t>
  </si>
  <si>
    <t>Jeśli twoje prawo jazdy zostało wydane poza obszarem Unii Europejskiej lub Europejskiego Obszaru Gospodarczego, wymagane jest międzynarodowe prawo jazdy.</t>
  </si>
  <si>
    <t>The direct-address possessive pronoun 'twoje' is not capitalized, which violates the style guide rule to capitalize pronouns of address.</t>
  </si>
  <si>
    <t>Capitalize the pronoun 'twoje' to 'Twoje' to comply with the project's direct address rules.</t>
  </si>
  <si>
    <t>Jeśli Twoje prawo jazdy zostało wydane poza obszarem Unii Europejskiej lub Europejskiego Obszaru Gospodarczego, wymagane jest międzynarodowe prawo jazdy.</t>
  </si>
  <si>
    <t>https://www.skyscanner.pl/wynajem-samochodow-w/wynajem-samochodow-w-balice/38835007.html</t>
  </si>
  <si>
    <t>Porównując oferty różnych wypożyczalni, łatwiej dopasujesz auto do swoich potrzeb i budżetu.</t>
  </si>
  <si>
    <t>The form of address is inconsistent with the rest of the paragraph, which uses impersonal constructions.</t>
  </si>
  <si>
    <t>Change the verb to the impersonal infinitive form 'dopasować' to match the impersonal tone of the surrounding sentences.</t>
  </si>
  <si>
    <t>Porównując oferty różnych wypożyczalni, łatwiej dopasować auto do swoich potrzeb i budżetu.</t>
  </si>
  <si>
    <t>Odbiór na lotnisku wypada zwykle taniej niż w centrum, więc jeśli zależy Ci na niższej stawce dziennej, warto rozważyć tę lokalizację.</t>
  </si>
  <si>
    <t>The direct-address pronoun 'Ci' is not capitalized, which violates the locale-specific style guide rule to capitalize such pronouns.</t>
  </si>
  <si>
    <t>Capitalize the direct-address pronoun 'Ci' as required by the style guide.</t>
  </si>
  <si>
    <t>W Balicach dostępnych jest sześciu wypożyczalni samochodów.</t>
  </si>
  <si>
    <t>The numeral 'sześciu' is incorrectly declined. The nominative form 'sześć' is required for the non-masculine-personal noun 'wypożyczalni'.</t>
  </si>
  <si>
    <t>Change the numeral 'sześciu' to its correct form 'sześć'.</t>
  </si>
  <si>
    <t>W Balicach dostępnych jest sześć wypożyczalni samochodów.</t>
  </si>
  <si>
    <t>https://www.skyscanner.pl/wynajem-samochodow-w/wynajem-samochodow-w-minorka/222383696.html</t>
  </si>
  <si>
    <t>Ceny wynajmu zaczynają się od 207 zł za dzień.</t>
  </si>
  <si>
    <t>The currency 'zł' (Polish Złoty) is incorrectly used for a service in Menorca, Spain, where the local currency is the Euro.</t>
  </si>
  <si>
    <t>Replace the currency 'zł' with '€' to reflect the correct local currency.</t>
  </si>
  <si>
    <t>Ceny wynajmu zaczynają się od 207 € za dzień.</t>
  </si>
  <si>
    <t>https://www.skyscanner.pl/wynajem-samochodow-w/wynajem-samochodow-w-faro/27541630.html</t>
  </si>
  <si>
    <t>Jeśli wolisz automatyczną skrzynię, dostępny jest SEAT Leon od Klasswagen.com w cenie od 78 zł za dobę.</t>
  </si>
  <si>
    <t>The provider's brand name 'Klasswagen.com' is misspelled and includes a domain extension; the correct name is 'Klass Wagen'.</t>
  </si>
  <si>
    <t>Correct the brand name to 'Klass Wagen' by adding a space and removing the '.com'.</t>
  </si>
  <si>
    <t>Jeśli wolisz automatyczną skrzynię, dostępny jest SEAT Leon od Klass Wagen w cenie od 78 zł za dobę.</t>
  </si>
  <si>
    <t>Wiele autostrad jest płatnych, a opłaty pobiera się w tradycyjnych punktach poboru lub, na drogach elektronicznych „Via Verde”, wyłącznie za pomocą kamer i opłaconych z góry transponderów.</t>
  </si>
  <si>
    <t>The parenthetical commas around the phrase 'na drogach elektronicznych „Via Verde”' are grammatically incorrect, as the phrase is a direct alternative linked by the conjunction 'lub' and not an aside.</t>
  </si>
  <si>
    <t>Remove the commas surrounding the phrase to restore the correct parallel structure.</t>
  </si>
  <si>
    <t>Wiele autostrad jest płatnych, a opłaty pobiera się w tradycyjnych punktach poboru lub na drogach elektronicznych „Via Verde” wyłącznie za pomocą kamer i opłaconych z góry transponderów.</t>
  </si>
  <si>
    <t>https://www.skyscanner.pl/wynajem-samochodow-w/wynajem-samochodow-w-cagliari/27539679.html</t>
  </si>
  <si>
    <t>W Cagliari dostępnych jest sześciu wypożyczających samochody.</t>
  </si>
  <si>
    <t>Incorrect grammatical agreement. The masculine personal numeral 'sześciu' and the participle 'wypożyczających' are used to refer to companies, which is grammatically incorrect for inanimate entities. The non-personal form should be used. This incorrect pattern also appears later in the paragraph ('wielu wypożyczających').</t>
  </si>
  <si>
    <t>Change the numeral to the non-personal form 'sześć' and use the more appropriate noun 'wypożyczalni' (rental companies) for clarity and correctness.</t>
  </si>
  <si>
    <t>W Cagliari dostępnych jest sześć wypożyczalni samochodów.</t>
  </si>
  <si>
    <t>https://www.skyscanner.pl/wynajem-samochodow-w/wynajem-samochodow-w-szczytno/27547116.html</t>
  </si>
  <si>
    <t>Hyundai i20 z ręczną skrzynią biegów oferuje firma CARFREE w cenie od 121 zł za dobę.</t>
  </si>
  <si>
    <t>The brand name 'CARFREE' is incorrectly capitalized; the official styling is 'CarFree'.</t>
  </si>
  <si>
    <t>Correct the capitalization of the brand name to 'CarFree'.</t>
  </si>
  <si>
    <t>Hyundai i20 z ręczną skrzynią biegów oferuje firma CarFree w cenie od 121 zł za dobę.</t>
  </si>
  <si>
    <t>Jeśli potrzebujesz więcej miejsca na bagaż, CARFREE udostępnia Forda Transit Passenger z ręczną skrzynią biegów od 227 zł za dobę.</t>
  </si>
  <si>
    <t>Jeśli potrzebujesz więcej miejsca na bagaż, CarFree udostępnia Forda Transit Passenger z ręczną skrzynią biegów od 227 zł za dobę.</t>
  </si>
  <si>
    <t>Samochód w Szczytnie odbierzesz przede wszystkim na Lotnisku Olsztyn-Mazury, gdzie działa kilka wypożyczalni obsługujących pasażerów przylatujących do regionu. To najczęstszy punkt odbioru dla osób podróżujących samolotem. Alternatywą pozostaje wynajem w samym centrum Szczytna, jeśli zaczynasz podróż w mieście. Odbiór na lotnisku bywa zbliżony cenowo do odbioru w centrum, więc lokalizacja nie musi decydować o kosztach. Auto możesz odebrać zaraz po przylocie i ruszyć w kierunku Szczytna lub okolicznych miejscowości bez przesiadek.</t>
  </si>
  <si>
    <t>The single paragraph combines several distinct ideas (airport pickup, city center alternative, cost comparison), which harms scannability for users.</t>
  </si>
  <si>
    <t>Split the text into shorter, more focused paragraphs to improve readability.</t>
  </si>
  <si>
    <t>Samochód w Szczytnie odbierzesz przede wszystkim na Lotnisku Olsztyn-Mazury, gdzie działa kilka wypożyczalni obsługujących pasażerów przylatujących do regionu. To najczęstszy punkt odbioru dla osób podróżujących samolotem.
Alternatywą pozostaje wynajem w samym centrum Szczytna, jeśli zaczynasz podróż w mieście. Odbiór na lotnisku bywa zbliżony cenowo do odbioru w centrum, więc lokalizacja nie musi decydować o kosztach.
Auto możesz odebrać zaraz po przylocie i ruszyć w kierunku Szczytna lub okolicznych miejscowości bez przesiadek.</t>
  </si>
  <si>
    <t>https://www.skyscanner.pl/wynajem-samochodow-w/wynajem-samochodow-w-bukareszt/27545262.html</t>
  </si>
  <si>
    <t>Wynajem samochodu w Bukareszcie zaczyna się od 45 zł, przy średniej rocznej cenie wynoszącej 246 zł. Najniższe stawki pojawiają się w styczniu, więc jeśli masz elastyczne plany, warto rozważyć podróż w tym miesiącu. Rezerwację składaj z 4-tygodniowym wyprzedzeniem, co zwiększa szansę na korzystniejszą ofertę. Porównując dostępne opcje w Skyscanner, sprawdzisz różne firmy i modele w jednym miejscu. Zwróć uwagę na warunki najmu oraz zawarte ubezpieczenie, aby dopasować pojazd do swoich potrzeb i przewidywanego dystansu.</t>
  </si>
  <si>
    <t>The single paragraph contains multiple distinct ideas (pricing, timing, booking process, final checks), which makes it dense and harder to scan.</t>
  </si>
  <si>
    <t>Split the text into three separate paragraphs, each focusing on a specific topic, to improve readability and structure.</t>
  </si>
  <si>
    <t>Wynajem samochodu w Bukareszcie zaczyna się od 45 zł, przy średniej rocznej cenie wynoszącej 246 zł. Najniższe stawki pojawiają się w styczniu, więc jeśli masz elastyczne plany, warto rozważyć podróż w tym miesiącu.
Rezerwację składaj z 4-tygodniowym wyprzedzeniem, co zwiększa szansę na korzystniejszą ofertę. Porównując dostępne opcje w Skyscanner, sprawdzisz różne firmy i modele w jednym miejscu.
Zwróć uwagę na warunki najmu oraz zawarte ubezpieczenie, aby dopasować pojazd do swoich potrzeb i przewidywanego dystansu.</t>
  </si>
  <si>
    <t>W Rumunii ruch odbywa się prawą stroną. Na autostradach obowiązuje limit 130 km/h, a na drogach ekspresowych 120 km/h, przy czym na odcinkach górskich prędkość spada do 80 km/h. Poza terenem zabudowanym możesz jechać 90 km/h, natomiast na drogach oznaczonych jako trasy europejskie limit wynosi 100 km/h. W obszarach zabudowanych obowiązuje 50 km/h, a w wybranych miejscach nawet 25 km/h. Korzystanie z dróg krajowych, ekspresowych i autostrad wymaga elektronicznej winiety (rovinieta) powiązanej z numerem rejestracyjnym i sprawdzanej przez kamery.</t>
  </si>
  <si>
    <t>A single paragraph combines multiple distinct topics (driving side, speed limits, vignette requirements), which negatively impacts scannability and readability.</t>
  </si>
  <si>
    <t>Split the text into two separate paragraphs to group related information and improve content structure.</t>
  </si>
  <si>
    <t>W Rumunii ruch odbywa się prawą stroną. Na autostradach obowiązuje limit 130 km/h, a na drogach ekspresowych 120 km/h, przy czym na odcinkach górskich prędkość spada do 80 km/h. Poza terenem zabudowanym możesz jechać 90 km/h, natomiast na drogach oznaczonych jako trasy europejskie limit wynosi 100 km/h. W obszarach zabudowanych obowiązuje 50 km/h, a w wybranych miejscach nawet 25 km/h.
Korzystanie z dróg krajowych, ekspresowych i autostrad wymaga elektronicznej winiety (rovinieta) powiązanej z numerem rejestracyjnym i sprawdzanej przez kamery.</t>
  </si>
  <si>
    <t>https://www.skyscanner.pl/wynajem-samochodow-w/wynajem-samochodow-w-piza/27546040.html</t>
  </si>
  <si>
    <t>Rezerwacja z wyprzedzeniem 1 tydzień wcześniej pozwala trafić na lepsze ceny.</t>
  </si>
  <si>
    <t>The phrase 'z wyprzedzeniem ... wcześniej' is redundant, and the noun 'tydzień' is in the incorrect grammatical case for this construction.</t>
  </si>
  <si>
    <t>Remove the redundancy and use the correct adjectival form 'z tygodniowym wyprzedzeniem' for natural, grammatically correct phrasing.</t>
  </si>
  <si>
    <t>Rezerwacja z tygodniowym wyprzedzeniem pozwala trafić na lepsze ceny.</t>
  </si>
  <si>
    <t>Volkswagen Up! od ECH, również z ręczną skrzynią, kosztuje od 130 zł za dobę.</t>
  </si>
  <si>
    <t>The car model name 'Up!' is capitalized, but the official brand name is lowercase 'up!'.</t>
  </si>
  <si>
    <t>Change the capitalization of the car model name to lowercase 'up!' to align with official branding.</t>
  </si>
  <si>
    <t>Volkswagen up! od ECH, również z ręczną skrzynią, kosztuje od 130 zł za dobę.</t>
  </si>
  <si>
    <t>W Pizie dostępnych jest sześciu dostawców wypożyczalni samochodów.</t>
  </si>
  <si>
    <t>The phrase "dostawców wypożyczalni samochodów" (providers of car rental companies) is redundant, as a 'provider' is the 'rental company' in this context. This construction is stylistically awkward.</t>
  </si>
  <si>
    <t>Rephrase to remove the redundancy by stating that there are six car rental companies.</t>
  </si>
  <si>
    <t>W Pizie działa sześć wypożyczalni samochodów.</t>
  </si>
  <si>
    <t>https://www.skyscanner.pl/wynajem-samochodow-w/wynajem-samochodow-w-kutaisi/27543929.html</t>
  </si>
  <si>
    <t>Ofertę ze skrzynią ręczną znajdziesz u Alamo, gdzie ceny zaczynają się od 167 zł za dobę. Nieco droższą propozycję z tą samą skrzynią przygotowało Alamo, od 181 zł za dobę.</t>
  </si>
  <si>
    <t>The text presents two different starting prices from the same provider (Alamo) for the same transmission type (manual) without any context, which is redundant and confusing for the reader.</t>
  </si>
  <si>
    <t>Remove the second, more expensive and confusing offer from the same provider to improve clarity and logical flow.</t>
  </si>
  <si>
    <t>Ofertę ze skrzynią ręczną znajdziesz u Alamo, gdzie ceny zaczynają się od 167 zł za dobę.</t>
  </si>
  <si>
    <t>Odbiór na dworcu kolejowym Kutaisi I Railway Station wiąże się zwykle z wyższą stawką dzienną niż pozostałe miejsca.</t>
  </si>
  <si>
    <t>The Polish descriptor 'dworcu kolejowym' (railway station) is redundant, as the English equivalent 'Railway Station' is already part of the proper name.</t>
  </si>
  <si>
    <t>Remove the redundant English term 'Railway Station' from the proper name.</t>
  </si>
  <si>
    <t>Odbiór na dworcu kolejowym Kutaisi I wiąże się zwykle z wyższą stawką dzienną niż pozostałe miejsca.</t>
  </si>
  <si>
    <t>Minimalny wiek wynajmu wynosi 21 lat, a niektórzy dostawcy doliczają opłatę dla młodych kierowców poniżej 25. roku życia. Kierować pojazdem możesz od 18. roku życia.</t>
  </si>
  <si>
    <t>The text presents conflicting information by stating the minimum rental age is 21, then immediately adding that the legal driving age is 18, which is confusing and irrelevant in the context of car rental requirements.</t>
  </si>
  <si>
    <t>Remove the sentence about the general legal driving age to eliminate the contradiction with the specific rental age requirement.</t>
  </si>
  <si>
    <t>Minimalny wiek wynajmu wynosi 21 lat, a niektórzy dostawcy doliczają opłatę dla młodych kierowców poniżej 25. roku życia.</t>
  </si>
  <si>
    <t>Międzynarodowe prawo jazdy jest wymagane od wszystkich posiadaczy zagranicznych dokumentów i niezbędne w przypadku praw jazdy zapisanych alfabetem innym niż łaciński.</t>
  </si>
  <si>
    <t>The sentence structure is ambiguous; it first states an International Driving Permit is required for all foreigners, then clarifies it is essential for non-Latin script licenses, making the actual rule unclear.</t>
  </si>
  <si>
    <t>Rewrite the sentence to remove the ambiguity and clearly state the specific condition under which an International Driving Permit is required.</t>
  </si>
  <si>
    <t>Międzynarodowe prawo jazdy jest wymagane w przypadku praw jazdy zapisanych alfabetem innym niż łaciński.</t>
  </si>
  <si>
    <t>Opłaty drogowe pobierane są tylko na wybranych odcinkach, na przykład w tunelu Rikoti na autostradzie wschód–zachód.</t>
  </si>
  <si>
    <t>A hyphen-minus (-) was used instead of an en dash (–) to connect two words, which is contrary to Polish typographical rules.</t>
  </si>
  <si>
    <t>Replace the hyphen-minus with the correct en dash (–).</t>
  </si>
  <si>
    <t>2026-2027-pl-car-hire-city-07.docx</t>
  </si>
  <si>
    <t>https://www.skyscanner.pl/wynajem-samochodow-w/wynajem-samochodow-w-rijeka/27546174.html</t>
  </si>
  <si>
    <t>Odbiór na lotnisku zwykle jest tańszy niż odbiór w centrum miasta, więc jeśli zależy ci na niższej stawce, warto rozważyć start właśnie stamtąd.</t>
  </si>
  <si>
    <t>The direct-address pronoun 'ci' is not capitalized, which violates the Polish style guide's requirement to capitalize such pronouns.</t>
  </si>
  <si>
    <t>Capitalize the pronoun 'ci' to 'Ci' to comply with the direct address rules.</t>
  </si>
  <si>
    <t>Odbiór na lotnisku zwykle jest tańszy niż odbiór w centrum miasta, więc jeśli zależy Ci na niższej stawce, warto rozważyć start właśnie stamtąd.</t>
  </si>
  <si>
    <t>W Rijece dostępnych jest sześciu wypożyczalni samochodów.</t>
  </si>
  <si>
    <t>The numeral 'sześciu' is incorrectly declined for the noun 'wypożyczalni'. The correct form is 'sześć'.</t>
  </si>
  <si>
    <t>Change the numeral 'sześciu' to the correct form 'sześć'.</t>
  </si>
  <si>
    <t>W Rijece dostępnych jest sześć wypożyczalni samochodów.</t>
  </si>
  <si>
    <t>Do wynajmu potrzebujesz ważnego paszportu lub dowodu osobistego oraz prawa jazdy.</t>
  </si>
  <si>
    <t>The text switches from an impersonal tone to a direct address ('potrzebujesz'), which creates an inconsistent voice within the paragraph.</t>
  </si>
  <si>
    <t>Rewrite the sentence using an impersonal form to maintain a consistent tone.</t>
  </si>
  <si>
    <t>Do wynajmu potrzebny jest ważny paszport lub dowód osobisty oraz prawo jazdy.</t>
  </si>
  <si>
    <t>https://www.skyscanner.pl/wynajem-samochodow-w/wynajem-samochodow-w-palma-de-mallorca/27545988.html</t>
  </si>
  <si>
    <t>Wynajem samochodu w Palma de Mallorca zaczyna się od 22 zł, przy średniej rocznej na poziomie 226 zł.</t>
  </si>
  <si>
    <t>The text incorrectly uses the Polish Złoty (zł) for a service located in Palma de Mallorca, Spain, where the official currency is the Euro (€).</t>
  </si>
  <si>
    <t>Change the currency symbol from 'zł' to '€' in both instances to reflect the correct currency for the location.</t>
  </si>
  <si>
    <t>Wynajem samochodu w Palma de Mallorca zaczyna się od 22 €, przy średniej rocznej na poziomie 226 €.</t>
  </si>
  <si>
    <t>Do najczęściej wybieranych należą Goldcar, Green Motion oraz NIZACARS, przy czym największą popularnością cieszy się Goldcar.</t>
  </si>
  <si>
    <t>The brand name 'NIZACARS' is incorrectly capitalized in all caps.</t>
  </si>
  <si>
    <t>Change the capitalization of 'NIZACARS' to 'Nizacars' to align with standard brand presentation.</t>
  </si>
  <si>
    <t>Do najczęściej wybieranych należą Goldcar, Green Motion oraz Nizacars, przy czym największą popularnością cieszy się Goldcar.</t>
  </si>
  <si>
    <t>https://www.skyscanner.pl/wynajem-samochodow-w/wynajem-samochodow-w-heraklion/27542028.html</t>
  </si>
  <si>
    <t>Wśród dostępnych ofert firma ABBYCAR proponuje Hyundai i10 z ręczną skrzynią biegów od 103 zł za dobę oraz Suzuki Swift, również z manualną skrzynią, od 104 zł za dobę.</t>
  </si>
  <si>
    <t>The brand name 'ABBYCAR' uses incorrect all-caps casing, and the text uses inconsistent terminology ('ręczną' and 'manualną') for 'manual transmission', where the glossary specifies 'ręczna'.</t>
  </si>
  <si>
    <t>Correct the brand name casing to 'Abbycar' and use the consistent, glossary-aligned term 'ręczną' for 'manual transmission'.</t>
  </si>
  <si>
    <t>Wśród dostępnych ofert firma Abbycar proponuje Hyundai i10 z ręczną skrzynią biegów od 103 zł za dobę oraz Suzuki Swift, również z ręczną skrzynią, od 104 zł za dobę.</t>
  </si>
  <si>
    <t>Do najczęściej wybieranych należą Astralis, Centauro oraz ABBYCAR, przy czym największą popularnością cieszy się Astralis.</t>
  </si>
  <si>
    <t>The brand name 'ABBYCAR' is written in all-caps, which is inconsistent with the other brand names in the list ('Astralis', 'Centauro') that use Title Case.</t>
  </si>
  <si>
    <t>Change 'ABBYCAR' to 'AbbyCar' to align with standard brand name formatting and ensure consistency within the sentence.</t>
  </si>
  <si>
    <t>Do najczęściej wybieranych należą Astralis, Centauro oraz AbbyCar, przy czym największą popularnością cieszy się Astralis.</t>
  </si>
  <si>
    <t>Opłaty naliczane są na podstawie przejechanego dystansu i wnosisz je w punktach poboru gotówką, kartą lub za pomocą elektronicznych transponderów.</t>
  </si>
  <si>
    <t>The sentence incorrectly joins a clause in the passive voice ('naliczane są') with a clause in the active, direct-address voice ('wnosisz'), creating a non-parallel and grammatically flawed structure.</t>
  </si>
  <si>
    <t>Split the sentence into two to separate the description of the system's function (passive) from the user's action (active), ensuring grammatical consistency.</t>
  </si>
  <si>
    <t>Opłaty naliczane są na podstawie przejechanego dystansu. Wnosisz je w punktach poboru gotówką, kartą lub za pomocą elektronicznych transponderów.</t>
  </si>
  <si>
    <t>https://www.skyscanner.pl/wynajem-samochodow-w/wynajem-samochodow-w-oslo/27538634.html</t>
  </si>
  <si>
    <t>Jeśli potrzebujesz więcej przestrzeni, Volkswagen Transporter 6.1 Kombi od Alamo dostępny jest od 297 zł za dobę.</t>
  </si>
  <si>
    <t>The car body type "Kombi" is incorrectly capitalized. As a common noun derived from the glossary term "wagon", it should be in lowercase.</t>
  </si>
  <si>
    <t>Change the capitalization of "Kombi" to lowercase "kombi".</t>
  </si>
  <si>
    <t>Jeśli potrzebujesz więcej przestrzeni, Volkswagen Transporter 6.1 kombi od Alamo dostępny jest od 297 zł za dobę.</t>
  </si>
  <si>
    <t>W Oslo dostępnych jest sześciu wypożyczających samochody.</t>
  </si>
  <si>
    <t>The text uses the masculine personal form "sześciu wypożyczających", which refers to six male individuals, while the context refers to car rental companies.</t>
  </si>
  <si>
    <t>Replace the masculine personal noun with the correct term for companies, "sześć wypożyczalni", which aligns with the glossary term for 'car hire company'.</t>
  </si>
  <si>
    <t>W Oslo dostępnych jest sześć wypożyczalni samochodów.</t>
  </si>
  <si>
    <t>Minimalny wiek wynajmu to 21 lat, choć wielu wypożyczających dolicza opłatę dla młodych kierowców poniżej 25. roku życia.</t>
  </si>
  <si>
    <t>The text uses the masculine personal form "wielu wypożyczających", which refers to multiple male individuals, while the context refers to car rental companies.</t>
  </si>
  <si>
    <t>Replace the masculine personal noun with the correct term for companies, "wiele wypożyczalni", to maintain consistency and accuracy.</t>
  </si>
  <si>
    <t>Minimalny wiek wynajmu to 21 lat, choć wiele wypożyczalni dolicza opłatę dla młodych kierowców poniżej 25. roku życia.</t>
  </si>
  <si>
    <t>https://www.skyscanner.pl/wynajem-samochodow-w/wynajem-samochodow-w-nowy-jork/27537542.html</t>
  </si>
  <si>
    <t>Wynajem samochodu w Nowym Jorku zaczyna się od 160 zł, podczas gdy średnia roczna cena wynosi 342 zł.</t>
  </si>
  <si>
    <t>The currency is stated as Polish Złoty (zł) for a car rental in New York, which is incorrect as the location uses US Dollars.</t>
  </si>
  <si>
    <t>Change the currency from 'zł' to 'USD' to reflect the correct currency for the location.</t>
  </si>
  <si>
    <t>Wynajem samochodu w Nowym Jorku zaczyna się od 160 USD, podczas gdy średnia roczna cena wynosi 342 USD.</t>
  </si>
  <si>
    <t>Zwróć uwagę na warunki najmu, zakres ubezpieczenia oraz limity kilometrów, które wpływają na ostateczną kwotę do zapłaty.</t>
  </si>
  <si>
    <t>The unit of distance is mentioned as kilometers ('kilometrów'), which is incorrect for the United States, where miles are the standard unit.</t>
  </si>
  <si>
    <t>Change 'kilometrów' (kilometers) to 'mil' (miles) to use the correct unit of distance required for the US context.</t>
  </si>
  <si>
    <t>Zwróć uwagę na warunki najmu, zakres ubezpieczenia oraz limity mil, które wpływają na ostateczną kwotę do zapłaty.</t>
  </si>
  <si>
    <t>Ten sam model z automatyczną skrzynią biegów oferuje Avis w cenie od 175 zł za dobę.</t>
  </si>
  <si>
    <t>The currency used for car rentals in New York is PLN (zł), which is incorrect for the location; prices should be in USD ($). This pattern repeats in all subsequent price mentions.</t>
  </si>
  <si>
    <t>Change the currency symbol from 'zł' to '$' to reflect the correct currency for the United States.</t>
  </si>
  <si>
    <t>Ten sam model z automatyczną skrzynią biegów oferuje Avis w cenie od 175 $ za dobę.</t>
  </si>
  <si>
    <t>Jeśli potrzebujesz większej przestrzeni, rozważ Honda Odyssey od Turo, również z automatyczną skrzynią, w cenie od 207 zł za dobę.</t>
  </si>
  <si>
    <t>The direct object of the verb "rozważ" (consider) is in the nominative case ("Honda Odyssey") instead of the required accusative case.</t>
  </si>
  <si>
    <t>Decline the proper noun "Honda" to its accusative form, "Hondę", to agree with the verb.</t>
  </si>
  <si>
    <t>Jeśli potrzebujesz większej przestrzeni, rozważ Hondę Odyssey od Turo, również z automatyczną skrzynią, w cenie od 207 $ za dobę.</t>
  </si>
  <si>
    <t>Dostępne są też inne punkty lotniskowe, w tym Lotnisko Nowy Jork John F Kennedy oraz Lotnisko Nowy Jork-Newark.</t>
  </si>
  <si>
    <t>The proper name "John F Kennedy" is missing the standard period after the middle initial "F".</t>
  </si>
  <si>
    <t>Add a period after the middle initial 'F' to correctly punctuate the name as 'John F. Kennedy'.</t>
  </si>
  <si>
    <t>Dostępne są też inne punkty lotniskowe, w tym Lotnisko Nowy Jork John F. Kennedy oraz Lotnisko Nowy Jork-Newark.</t>
  </si>
  <si>
    <t>Międzynarodowe prawo jazdy jest wymagane, jeśli twój dokument nie jest wydany w alfabecie łacińskim; większość zachodnich praw jazdy akceptuje się bez niego.</t>
  </si>
  <si>
    <t>The direct-address possessive pronoun 'twój' should be capitalized as per the style guide's rule for respectful direct address.</t>
  </si>
  <si>
    <t>Capitalize the pronoun 'twój' to 'Twój' to comply with the project's rules on addressing the reader.</t>
  </si>
  <si>
    <t>Międzynarodowe prawo jazdy jest wymagane, jeśli Twój dokument nie jest wydany w alfabecie łacińskim; większość zachodnich praw jazdy akceptuje się bez niego.</t>
  </si>
  <si>
    <t>Na autostradach oraz drogach ekspresowych obowiązuje limit od 89 do 129 km/h, a na odcinku Texas SH-130 między I-10 a SH-45 dopuszczalne jest 137 km/h.</t>
  </si>
  <si>
    <t>The text only provides metric speed limits (km/h) for driving in the US, but all road signs use imperial units (mph). This omission significantly impairs the guide's practical use for a driver. This pattern repeats for all speed limits in the paragraph.</t>
  </si>
  <si>
    <t>Add the corresponding imperial units (mph) in parentheses after each metric value to provide necessary context for the driver.</t>
  </si>
  <si>
    <t>Na autostradach oraz drogach ekspresowych obowiązuje limit od 89 do 129 km/h (od 55 do 80 mph), a na odcinku Texas SH-130 między I-10 a SH-45 dopuszczalne jest 137 km/h (85 mph).</t>
  </si>
  <si>
    <t>https://www.skyscanner.pl/wynajem-samochodow-w/wynajem-samochodow-w-londyn/27544008.html</t>
  </si>
  <si>
    <t>Ceny wynajmu samochodu w Londynie zaczynają się od 27 zł, przy średniej rocznej na poziomie 273 zł.</t>
  </si>
  <si>
    <t>The currency symbol 'zł' (PLN) is incorrect for the location, London, where the local currency is GBP (£).</t>
  </si>
  <si>
    <t>Replace the currency symbol 'zł' with '£' to match the location.</t>
  </si>
  <si>
    <t>Ceny wynajmu samochodu w Londynie zaczynają się od 27 £, przy średniej rocznej na poziomie 273 £.</t>
  </si>
  <si>
    <t>Rezerwację warto złożyć na 1 tydzień wcześniej, co pozwala trafić na korzystniejsze oferty.</t>
  </si>
  <si>
    <t>The preposition 'na' is used incorrectly in the time expression 'na 1 tydzień wcześniej'.</t>
  </si>
  <si>
    <t>Remove the preposition 'na' to form a grammatically correct time expression.</t>
  </si>
  <si>
    <t>Rezerwację warto złożyć 1 tydzień wcześniej, co pozwala trafić na korzystniejsze oferty.</t>
  </si>
  <si>
    <t>Wśród ofert znajdziesz Peugeota 508 od firmy Sixt z automatyczną skrzynią biegów w cenie od 27 zł za dobę.</t>
  </si>
  <si>
    <t>The currency is incorrectly stated as Polish Złoty (zł) for services in London; the correct currency is British Pounds (£). This pattern repeats for all prices mentioned.</t>
  </si>
  <si>
    <t>Change the currency symbol from 'zł' to '£' for all prices mentioned to reflect the correct currency for London.</t>
  </si>
  <si>
    <t>Wśród ofert znajdziesz Peugeota 508 od firmy Sixt z automatyczną skrzynią biegów w cenie od 27 £ za dobę.</t>
  </si>
  <si>
    <t>Minimalny wiek wynajmu to 21 lat, przy czym część firm dolicza dopłatę dla młodych kierowców poniżej 25 lat. Minimalny wiek kierowcy to 17 lat.</t>
  </si>
  <si>
    <t>The text states the minimum rental age is 21, but then adds that the minimum driver age is 17. This creates an internal contradiction that is highly misleading in the context of car rental, as a 17-year-old cannot rent a car.</t>
  </si>
  <si>
    <t>Remove the sentence about the minimum driver age being 17 to avoid confusing the user with irrelevant and contradictory information.</t>
  </si>
  <si>
    <t>Minimalny wiek wynajmu to 21 lat, przy czym część firm dolicza dopłatę dla młodych kierowców poniżej 25 lat.</t>
  </si>
  <si>
    <t>W Wielkiej Brytanii ruch odbywa się lewostronną stroną drogi.</t>
  </si>
  <si>
    <t>The phrase 'odbywa się lewostronną stroną drogi' is a tautology and is stylistically awkward.</t>
  </si>
  <si>
    <t>Rephrase to the standard and concise 'ruch jest lewostronny'.</t>
  </si>
  <si>
    <t>W Wielkiej Brytanii ruch jest lewostronny.</t>
  </si>
  <si>
    <t>Na autostradach i drogach ekspresowych obowiązuje limit 112 km/h.</t>
  </si>
  <si>
    <t>The text provides speed limits for the UK using only km/h. For driver safety and clarity, the primary unit must be miles per hour (mph), as this is what is displayed on UK road signs. This error pattern repeats for all speed limits mentioned in the paragraph.</t>
  </si>
  <si>
    <t>Introduce 'mph' as the primary unit and provide an approximate 'km/h' value in parentheses for user reference.</t>
  </si>
  <si>
    <t>Na autostradach i drogach ekspresowych obowiązuje limit 70 mph (ok. 112 km/h).</t>
  </si>
  <si>
    <t>Na drogach krajowych prędkość zależy od klasy trasy i wynosi od 96 do 112 km/h na autostradach oraz od 80 do 112 km/h na dwujezdniowych drogach głównych.</t>
  </si>
  <si>
    <t>The sentence structure is illogical, incorrectly discussing motorway speeds under the topic of national roads, which makes the information contradictory and hard to understand.</t>
  </si>
  <si>
    <t>Remove the contradictory mention of motorways to fix the logical flow and apply the required mph/kmh unit conversion.</t>
  </si>
  <si>
    <t>Na drogach krajowych prędkość zależy od klasy trasy, a na dwujezdniowych drogach głównych limit wynosi od 50 mph (ok. 80 km/h) do 70 mph (ok. 112 km/h).</t>
  </si>
  <si>
    <t>https://www.skyscanner.pl/wynajem-samochodow-w/wynajem-samochodow-w-burgas/27539527.html</t>
  </si>
  <si>
    <t>Porównując oferty różnych wypożyczalni na Skyscanner, możesz sprawdzić, które warunki odpowiadają Twoim planom podróży.</t>
  </si>
  <si>
    <t>The direct address pronoun 'Twoim' is not capitalized as required by the style guide.</t>
  </si>
  <si>
    <t>Capitalize the pronoun 'Twoim' to 'Twoim' according to the Polish style guide for direct address.</t>
  </si>
  <si>
    <t>Samochód w Burgas możesz odebrać na stacji Bourges Station, gdzie działają cztery wypożyczalnie.</t>
  </si>
  <si>
    <t>The name of the station is misspelled as 'Bourges Station', which is a city in France, while the context of the article is 'Burgas' in Bulgaria, creating an internal contradiction.</t>
  </si>
  <si>
    <t>Correct the name 'Bourges' to 'Burgas' to match the topic location.</t>
  </si>
  <si>
    <t>Samochód w Burgas możesz odebrać na stacji Burgas Station, gdzie działają cztery wypożyczalnie.</t>
  </si>
  <si>
    <t>Jeśli posiadasz prawo jazdy spoza Unii Europejskiej i strefy EOG, które nie jest wystawione po francusku, wymagane jest międzynarodowe prawo jazdy.</t>
  </si>
  <si>
    <t>The requirement for a non-EU/EEA driver's license to be in French for use in Bulgaria is illogical and a likely mistranslation of a rule concerning the script (e.g., Latin alphabet). This creates a misleading and factually incorrect requirement.</t>
  </si>
  <si>
    <t>Replace the specific and incorrect reference to 'French' with the standard international requirement related to the license being issued in the Latin alphabet.</t>
  </si>
  <si>
    <t>Jeśli posiadasz prawo jazdy spoza Unii Europejskiej i strefy EOG, które nie jest wystawione w alfabecie łacińskim, wymagane jest międzynarodowe prawo jazdy.</t>
  </si>
  <si>
    <t>https://www.skyscanner.pl/wynajem-samochodow-w/wynajem-samochodow-w-kefalonia/38310671.html</t>
  </si>
  <si>
    <t>Jeśli szukasz podobnego rozmiaru, King's Cars oferuje Fiata 500 ze skrzynią ręczną od 206 zł za dobę.</t>
  </si>
  <si>
    <t>The currency used is Polish Złoty (zł), which is incorrect for the specified location, Kefalonia (Greece), where the official currency is the Euro (€). This error pattern is repeated for all prices in the paragraph.</t>
  </si>
  <si>
    <t>Change the currency symbol from 'zł' to '€' for all prices to match the location's currency.</t>
  </si>
  <si>
    <t>Jeśli szukasz podobnego rozmiaru, King's Cars oferuje Fiata 500 ze skrzynią ręczną od 206 € za dobę.</t>
  </si>
  <si>
    <t>Międzynarodowe prawo jazdy nie jest wymagane w przypadku uprawnień z krajów UE/EOG, Szwajcarii, Norwegii, Liechtensteinu, Islandii, USA, Kanady, Australii czy Wielkiej Brytanii, ale jest konieczne dla większości pozostałych zagranicznych praw jazdy.</t>
  </si>
  <si>
    <t>The acronym 'USA' is used in the nominative case, which breaks the grammatical parallelism of the list where all other countries are correctly in the genitive case as required by the preposition 'z'.</t>
  </si>
  <si>
    <t>Replace the acronym 'USA' with its full Polish name in the correct genitive form, 'Stanów Zjednoczonych', to maintain case consistency within the list.</t>
  </si>
  <si>
    <t>Międzynarodowe prawo jazdy nie jest wymagane w przypadku uprawnień z krajów UE/EOG, Szwajcarii, Norwegii, Liechtensteinu, Islandii, Stanów Zjednoczonych, Kanady, Australii czy Wielkiej Brytanii, ale jest konieczne dla większości pozostałych zagranicznych praw jazdy.</t>
  </si>
  <si>
    <t>Wysokość opłaty zależy od pokonanego dystansu, a należność regulujesz w punktach poboru gotówką, kartą lub za pomocą elektronicznego transpondera.</t>
  </si>
  <si>
    <t>The text inconsistently switches from a descriptive, impersonal tone to a direct 2nd-person address ('regulujesz'), which violates the style guide's requirement to maintain a consistent form of address.</t>
  </si>
  <si>
    <t>Change the verb to the impersonal form 'reguluje się' to align with the impersonal tone used in the rest of the paragraph.</t>
  </si>
  <si>
    <t>Wysokość opłaty zależy od pokonanego dystansu, a należność reguluje się w punktach poboru gotówką, kartą lub za pomocą elektronicznego transpondera.</t>
  </si>
  <si>
    <t>https://www.skyscanner.pl/wynajem-samochodow-w/wynajem-samochodow-w-nicea/27545091.html</t>
  </si>
  <si>
    <t>Najniższe ceny pojawiają się zwykle w listopadzie, więc warto zaplanować podróż na ten okres, jeśli zależy ci na oszczędności.</t>
  </si>
  <si>
    <t>The direct-address pronoun 'ci' is not capitalized, which violates the Polish style guide's rule to capitalize pronouns of address.</t>
  </si>
  <si>
    <t>Capitalize the pronoun 'ci' to 'Ci' to adhere to the project's direct-address convention.</t>
  </si>
  <si>
    <t>Najniższe ceny pojawiają się zwykle w listopadzie, więc warto zaplanować podróż na ten okres, jeśli zależy Ci na oszczędności.</t>
  </si>
  <si>
    <t>Do wynajmu samochodu potrzebujesz ważnego paszportu lub dowodu tożsamości oraz prawa jazdy.</t>
  </si>
  <si>
    <t>The point of view is inconsistent within the paragraph, switching from a descriptive third-person voice to a direct second-person address.</t>
  </si>
  <si>
    <t>Rephrase the sentence in the third-person/impersonal form to maintain a consistent voice with the rest of the paragraph.</t>
  </si>
  <si>
    <t>Do wynajmu samochodu potrzebny jest ważny paszport lub dowód tożsamości oraz prawo jazdy.</t>
  </si>
  <si>
    <t>Poza obszarami zabudowanymi na drogach krajowych możesz jechać do 80 km/h, natomiast w terenie zabudowanym limit wynosi 50 km/h.</t>
  </si>
  <si>
    <t>The verb 'możesz' implies a direct address to the reader and should be capitalized as per the style guide's requirement for polite, direct address.</t>
  </si>
  <si>
    <t>Capitalize the verb 'Możesz'.</t>
  </si>
  <si>
    <t>Poza obszarami zabudowanymi na drogach krajowych Możesz jechać do 80 km/h, natomiast w terenie zabudowanym limit wynosi 50 km/h.</t>
  </si>
  <si>
    <t>Na bramkach obsługiwanych przez personel zapłacisz gotówką lub kartą.</t>
  </si>
  <si>
    <t>The verb 'zapłacisz' implies a direct address to the reader and should be capitalized as per the style guide's requirement for polite, direct address.</t>
  </si>
  <si>
    <t>Capitalize the verb 'Zapłacisz'.</t>
  </si>
  <si>
    <t>Na bramkach obsługiwanych przez personel Zapłacisz gotówką lub kartą.</t>
  </si>
  <si>
    <t>https://www.skyscanner.pl/wynajem-samochodow-w/wynajem-samochodow-w-funchal/223808213.html</t>
  </si>
  <si>
    <t>Najpopularniejszą z nich jest Funchal Drive, a wśród pozostałych znajdziesz Street Rent a Car oraz driving madeira rent a car.</t>
  </si>
  <si>
    <t>The proper name 'driving madeira rent a car' is not capitalized correctly, which is inconsistent with other brand names mentioned in the same sentence.</t>
  </si>
  <si>
    <t>Capitalize the proper name to 'Driving Madeira Rent a Car' for consistency with other brand names.</t>
  </si>
  <si>
    <t>Najpopularniejszą z nich jest Funchal Drive, a wśród pozostałych znajdziesz Street Rent a Car oraz Driving Madeira Rent a Car.</t>
  </si>
  <si>
    <t>Opłaty pobierane są w tradycyjnych bramkach lub, na trasach elektronicznych „Via Verde”, wyłącznie za pomocą kamer i doładowywanych transponderów.</t>
  </si>
  <si>
    <t>An essential phrase is incorrectly separated from the main clause by commas, which is grammatically incorrect in Polish.</t>
  </si>
  <si>
    <t>Remove the commas around the phrase 'na trasach elektronicznych „Via Verde”' to correctly integrate it into the sentence.</t>
  </si>
  <si>
    <t>Opłaty pobierane są w tradycyjnych bramkach lub na trasach elektronicznych „Via Verde” wyłącznie za pomocą kamer i doładowywanych transponderów.</t>
  </si>
  <si>
    <t>2026-2027-pl-car-hire-city-08.docx</t>
  </si>
  <si>
    <t>https://www.skyscanner.pl/wynajem-samochodow-w/wynajem-samochodow-w-sewilla/27547022.html</t>
  </si>
  <si>
    <t>Wynajem samochodu w Sewilli zaczyna się od 32 zł, przy średniej rocznej cenie wynoszącej 206 zł.</t>
  </si>
  <si>
    <t>The currency is incorrectly stated as Polish Złoty (zł) for a service in Seville, Spain, which uses the Euro.</t>
  </si>
  <si>
    <t>Change the currency symbol from 'zł' to '€' to reflect the correct local currency for Spain.</t>
  </si>
  <si>
    <t>Wynajem samochodu w Sewilli zaczyna się od 32 €, przy średniej rocznej cenie wynoszącej 206 €.</t>
  </si>
  <si>
    <t>Skoda Scala od WIBER, również z manualną skrzynią biegów, dostępna jest od 32 zł za dobę.</t>
  </si>
  <si>
    <t>The brand name 'WIBER' is incorrectly capitalized. The same issue appears in the next sentence.</t>
  </si>
  <si>
    <t>Correct the capitalization of the brand name to 'Wiber'.</t>
  </si>
  <si>
    <t>Skoda Scala od Wiber, również z manualną skrzynią biegów, dostępna jest od 32 zł za dobę.</t>
  </si>
  <si>
    <t>Jeśli twoje prawo jazdy wydano poza Unią Europejską lub Europejskim Obszarem Gospodarczym, wymagane jest dodatkowo międzynarodowe prawo jazdy.</t>
  </si>
  <si>
    <t>The direct-address possessive pronoun 'twoje' is not capitalized, which violates the style guide's rule to capitalize such pronouns for a polite register.</t>
  </si>
  <si>
    <t>Capitalize the pronoun 'twoje' to 'Twoje' to comply with the required polite form of address.</t>
  </si>
  <si>
    <t>Jeśli Twoje prawo jazdy wydano poza Unią Europejską lub Europejskim Obszarem Gospodarczym, wymagane jest dodatkowo międzynarodowe prawo jazdy.</t>
  </si>
  <si>
    <t>https://www.skyscanner.pl/wynajem-samochodow-w/wynajem-samochodow-w-benidorm/29476498.html</t>
  </si>
  <si>
    <t>Najniższe stawki notowane są we wrześniu, dlatego warto zaplanować podróż na ten miesiąc, jeśli zależy ci na oszczędności.</t>
  </si>
  <si>
    <t>The Polish style guide requires capitalizing direct-address pronouns, but the pronoun 'ci' is in lowercase.</t>
  </si>
  <si>
    <t>Capitalize the direct-address pronoun 'ci' to 'Ci'.</t>
  </si>
  <si>
    <t>Najniższe stawki notowane są we wrześniu, dlatego warto zaplanować podróż na ten miesiąc, jeśli zależy Ci na oszczędności.</t>
  </si>
  <si>
    <t>Podobną stawkę ma Ford Fiesta, również od Centauro, z manualną skrzynią biegów, od 187 zł za dobę.</t>
  </si>
  <si>
    <t>The term 'manualną' is used instead of the glossary-specified term 'ręczną', creating an inconsistency with other sentences in the same paragraph.</t>
  </si>
  <si>
    <t>Replace 'manualną' with 'ręczną' to adhere to the glossary and ensure consistency.</t>
  </si>
  <si>
    <t>Podobną stawkę ma Ford Fiesta, również od Centauro, z ręczną skrzynią biegów, od 187 zł za dobę.</t>
  </si>
  <si>
    <t>Opłaty pobierane są tylko na wybranych autostradach oznaczonych jako „autopista" (symbole AP lub peaje).</t>
  </si>
  <si>
    <t>The closing quotation mark is a straight quote (") instead of the correct Polish closing quotation mark (”).</t>
  </si>
  <si>
    <t>Replace the straight quotation mark with the correct Polish closing quotation mark: ”</t>
  </si>
  <si>
    <t>Opłaty pobierane są tylko na wybranych autostradach oznaczonych jako „autopista” (symbole AP lub peaje).</t>
  </si>
  <si>
    <t>https://www.skyscanner.pl/wynajem-samochodow-w/wynajem-samochodow-w-alanya/37861468.html</t>
  </si>
  <si>
    <t>Porównując oferty na Skyscanner, sprawdzisz, którzy dostawcy proponują konkurencyjne warunki w interesującym Cię terminie.</t>
  </si>
  <si>
    <t>The direct-address pronoun 'Cię' is not capitalized, which violates the style guide's rule for capitalizing pronouns of address.</t>
  </si>
  <si>
    <t>Capitalize the pronoun 'Cię' to 'Cię' to comply with the project's register conventions.</t>
  </si>
  <si>
    <t>Samochód w Alanyi odbierzesz na Lotnisku Gazipasa Alanya, gdzie działa wielu wypożyczających.</t>
  </si>
  <si>
    <t>The term 'wypożyczających' (lenders/people who rent out) is imprecise; 'wypożyczalni' (rental companies) is the standard and more accurate term for businesses operating at an airport.</t>
  </si>
  <si>
    <t>Replace 'wielu wypożyczających' with 'wiele wypożyczalni' for improved clarity and precision.</t>
  </si>
  <si>
    <t>Samochód w Alanyi odbierzesz na Lotnisku Gazipasa Alanya, gdzie działa wiele wypożyczalni.</t>
  </si>
  <si>
    <t>Międzynarodowe prawo jazdy jest wymagane przy dokumentach zapisanych alfabetem innym niż łaciński i często proszą o nie także pozostali kierowcy.</t>
  </si>
  <si>
    <t>The final clause 'i często proszą o nie także pozostali kierowcy' (and other drivers also often ask for it) is illogical and ambiguous, as it is unclear who 'other drivers' refers to in the context of rental requirements.</t>
  </si>
  <si>
    <t>Reword the clause to clarify that rental companies, not other drivers, may require an international driving permit even from drivers whose licenses use the Latin alphabet.</t>
  </si>
  <si>
    <t>Międzynarodowe prawo jazdy jest wymagane przy dokumentach zapisanych alfabetem innym niż łaciński, a wypożyczalnie często wymagają go także od pozostałych kierowców.</t>
  </si>
  <si>
    <t>https://www.skyscanner.pl/wynajem-samochodow-w/wynajem-samochodow-w-pula/27546074.html</t>
  </si>
  <si>
    <t>Porównując oferty w Skyscanner, sprawdzisz dostępne modele i firmy dostępne na tej trasie.</t>
  </si>
  <si>
    <t>The term "na tej trasie" (on this route) is contextually inaccurate for car hire within a specific city (Pula), which is a location, not a route.</t>
  </si>
  <si>
    <t>Replace "na tej trasie" with a term that refers to the location, such as "w tej lokalizacji" (in this location), for contextual precision.</t>
  </si>
  <si>
    <t>Porównując oferty w Skyscanner, sprawdzisz dostępne modele i firmy dostępne w tej lokalizacji.</t>
  </si>
  <si>
    <t>W Puli najczęściej wybierany jest Fiat 500 — mały, praktyczny i łatwy do zaparkowania, co sprawdza się na wąskich uliczkach miasta.</t>
  </si>
  <si>
    <t>The text uses an em dash (—) for a parenthetical break, but the style guide mandates the use of an en dash (–).</t>
  </si>
  <si>
    <t>Replace the em dash (—) with an en dash (–) to comply with the project's typographical rules.</t>
  </si>
  <si>
    <t>W Puli najczęściej wybierany jest Fiat 500 – mały, praktyczny i łatwy do zaparkowania, co sprawdza się na wąskich uliczkach miasta.</t>
  </si>
  <si>
    <t>Jeśli twoje prawo jazdy wydano poza obszarem Unii Europejskiej lub EOG, wymagane jest dodatkowo międzynarodowe prawo jazdy.</t>
  </si>
  <si>
    <t>The possessive pronoun 'twoje' is not capitalized, which violates the style guide's rule to capitalize all forms of direct address to the reader.</t>
  </si>
  <si>
    <t>Capitalize the pronoun 'twoje' to 'Twoje' to align with the style guide's direct address conventions.</t>
  </si>
  <si>
    <t>Jeśli Twoje prawo jazdy wydano poza obszarem Unii Europejskiej lub EOG, wymagane jest dodatkowo międzynarodowe prawo jazdy.</t>
  </si>
  <si>
    <t>https://www.skyscanner.pl/wynajem-samochodow-w/wynajem-samochodow-w-chania/27539789.html</t>
  </si>
  <si>
    <t>Elastyczność dat oraz wcześniejsze planowanie pozwalają obniżyć koszt, zwłaszcza poza sezonem letnim, gdy zainteresowanie wynajmem jest większe, a dostępność aut ograniczona.</t>
  </si>
  <si>
    <t>The sentence contains a logical contradiction, stating that rental interest is higher and availability is limited 'outside the summer season', when these conditions apply to the peak summer season.</t>
  </si>
  <si>
    <t>Change 'poza sezonem letnim' (outside the summer season) to 'w sezonie letnim' (in the summer season) to correctly describe the peak demand period.</t>
  </si>
  <si>
    <t>Elastyczność dat oraz wcześniejsze planowanie pozwalają obniżyć koszt, zwłaszcza w sezonie letnim, gdy zainteresowanie wynajmem jest większe, a dostępność aut ograniczona.</t>
  </si>
  <si>
    <t>W Chanii dostępnych jest sześciu wypożyczalni samochodów.</t>
  </si>
  <si>
    <t>The numeral 'sześciu' is in the incorrect grammatical case. For this sentence structure ('jest' + number + noun), the nominative case 'sześć' is required.</t>
  </si>
  <si>
    <t>Change the numeral from the genitive 'sześciu' to the nominative 'sześć'.</t>
  </si>
  <si>
    <t>W Chanii dostępnych jest sześć wypożyczalni samochodów.</t>
  </si>
  <si>
    <t>Opłaty naliczane są na podstawie przejechanego dystansu i wnosisz je w punktach poboru gotówką, kartą lub przy użyciu elektronicznych transponderów.</t>
  </si>
  <si>
    <t>The sentence mixes impersonal and direct address forms without using the required capitalized pronoun 'Ty', violating style guide rules for consistency and direct address.</t>
  </si>
  <si>
    <t>Add the conjunction 'a' and the capitalized pronoun 'Ty' to align the sentence with the required direct-address style.</t>
  </si>
  <si>
    <t>Opłaty naliczane są na podstawie przejechanego dystansu, a Ty wnosisz je w punktach poboru gotówką, kartą lub przy użyciu elektronicznych transponderów.</t>
  </si>
  <si>
    <t>https://www.skyscanner.pl/wynajem-samochodow-w/wynajem-samochodow-w-porto/27545236.html</t>
  </si>
  <si>
    <t>Za Volkswagena Up! z manualną skrzynią zapłacisz od 61 zł za dobę w Klasswagen.com.</t>
  </si>
  <si>
    <t>The term "manualną" is used for "manual transmission," which is inconsistent with the glossary term "ręczna" and its usage elsewhere in the paragraph.</t>
  </si>
  <si>
    <t>Replace "manualną" with "ręczną" to align with the glossary and ensure consistency.</t>
  </si>
  <si>
    <t>Za Volkswagena Up! z ręczną skrzynią zapłacisz od 61 zł za dobę w Klasswagen.com.</t>
  </si>
  <si>
    <t>https://www.skyscanner.pl/wynajem-samochodow-w/wynajem-samochodow-w-marsylia/32030366.html</t>
  </si>
  <si>
    <t>Jeśli zależy ci na skrzyni automatycznej, Goldcar oferuje Fiata 500e od 161 zł za dobę.</t>
  </si>
  <si>
    <t>The direct-address pronoun "ci" is not capitalized, which violates the style guide's requirement to capitalize such pronouns for politeness.</t>
  </si>
  <si>
    <t>Capitalize the pronoun "ci" to "Ci" to align with the project's rules for addressing the reader.</t>
  </si>
  <si>
    <t>Jeśli zależy Ci na skrzyni automatycznej, Goldcar oferuje Fiata 500e od 161 zł za dobę.</t>
  </si>
  <si>
    <t>https://www.skyscanner.pl/wynajem-samochodow-w/wynajem-samochodow-w-saloniki/27546367.html</t>
  </si>
  <si>
    <t>Wśród dostępnych ofert znajdziesz Volkswagen Up! od Green Motion z ręczną skrzynią biegów w cenie od 143 zł za dobę.</t>
  </si>
  <si>
    <t>The currency is incorrect for the specified location. The text mentions prices in Polish Złoty (zł) for car rentals in Saloniki (Greece), where the official currency is the Euro (€). This pattern repeats for all prices mentioned.</t>
  </si>
  <si>
    <t>Replace the Polish Złoty currency symbol (zł) with the Euro symbol (€) for all prices.</t>
  </si>
  <si>
    <t>Wśród dostępnych ofert znajdziesz Volkswagen Up! od Green Motion z ręczną skrzynią biegów w cenie od 143 € za dobę.</t>
  </si>
  <si>
    <t>Międzynarodowe prawo jazdy nie jest wymagane dla praw z Unii Europejskiej, lecz konieczne przy większości pozostałych zagranicznych dokumentów.</t>
  </si>
  <si>
    <t>The word "praw" is used as an incomplete shorthand for "praw jazdy" (driving licenses), which is stylistically awkward and creates a minor ambiguity.</t>
  </si>
  <si>
    <t>Change "praw" to the full term "praw jazdy" to ensure clarity and formal correctness.</t>
  </si>
  <si>
    <t>Międzynarodowe prawo jazdy nie jest wymagane dla praw jazdy z Unii Europejskiej, lecz konieczne przy większości pozostałych zagranicznych dokumentów.</t>
  </si>
  <si>
    <t>2026-2027-pl-car-hire-city-09.docx</t>
  </si>
  <si>
    <t>https://www.skyscanner.pl/wynajem-samochodow-w/wynajem-samochodow-w-torrevieja/29485447.html</t>
  </si>
  <si>
    <t>Większość dróg typu autovía oraz drogi krajowe pozostają bezpłatne.</t>
  </si>
  <si>
    <t>The singular subject 'Większość' (majority), a collective noun, is incorrectly followed by the plural verb 'pozostają' and the plural adjective 'bezpłatne'.</t>
  </si>
  <si>
    <t>Change the verb and adjective to their singular forms ('pozostaje bezpłatna') to agree with the singular feminine subject 'Większość'.</t>
  </si>
  <si>
    <t>Większość dróg typu autovía oraz drogi krajowe pozostaje bezpłatna.</t>
  </si>
  <si>
    <t>https://www.skyscanner.pl/wynajem-samochodow-w/wynajem-samochodow-w-eindhoven/27540894.html</t>
  </si>
  <si>
    <t>Zestawienie ofert różnych wypożyczalni w Skyscanner ułatwia znalezienie samochodu odpowiadającego Twoim potrzebom oraz dostosowanie terminu wynajmu do budżetu.</t>
  </si>
  <si>
    <t>The direct-address possessive pronoun 'Twoim' is not capitalized, which violates the Polish style guide requirement.</t>
  </si>
  <si>
    <t>Capitalize the pronoun 'Twoim' to 'Twoim' to adhere to the style guide.</t>
  </si>
  <si>
    <t>Więcej przestrzeni zapewnia Volvo S60 od firmy Alamo z automatyczną skrzynią, dostępne od 509 zł za dobę.</t>
  </si>
  <si>
    <t>Incorrect gender agreement. The adjective 'dostępne' (neuter/plural) does not agree with the masculine noun it modifies (Volvo S60).</t>
  </si>
  <si>
    <t>Change the adjective to the masculine form 'dostępny' to agree with the noun.</t>
  </si>
  <si>
    <t>Więcej przestrzeni zapewnia Volvo S60 od firmy Alamo z automatyczną skrzynią, dostępny od 509 zł za dobę.</t>
  </si>
  <si>
    <t>https://www.skyscanner.pl/wynajem-samochodow-w/wynajem-samochodow-w-olbia/27545213.html</t>
  </si>
  <si>
    <t>Zapłacisz gotówką, kartą lub za pomocą transpondera Telepass, który przyspiesza przejazd przez bramki.</t>
  </si>
  <si>
    <t>The list of payment methods violates the rule of parallel structure by mixing grammatical cases. 'Gotówką' and 'kartą' are in the instrumental case, while the last item uses the 'za pomocą' + genitive case construction.</t>
  </si>
  <si>
    <t>Change the final list item to the instrumental case ('transponderem') to maintain consistent grammatical structure with the other items.</t>
  </si>
  <si>
    <t>Zapłacisz gotówką, kartą lub transponderem Telepass, który przyspiesza przejazd przez bramki.</t>
  </si>
  <si>
    <t>https://www.skyscanner.pl/wynajem-samochodow-w/wynajem-samochodow-w-reggio-di-calabria/27546148.html</t>
  </si>
  <si>
    <t>Wśród dostępnych ofert znajdziesz Peugeot 208 od dostawcy ecovia ze skrzynią ręczną w cenie od 136 zł za dobę.</t>
  </si>
  <si>
    <t>The brand name 'ecovia' is incorrectly lowercase.</t>
  </si>
  <si>
    <t>Capitalize the brand name 'ecovia' to 'Ecovia' as it is a proper noun.</t>
  </si>
  <si>
    <t>Wśród dostępnych ofert znajdziesz Peugeot 208 od dostawcy Ecovia ze skrzynią ręczną w cenie od 136 zł za dobę.</t>
  </si>
  <si>
    <t>Samochód w Reggio di Calabria odbierzesz na Lotnisku Reggio di Calabria, gdzie wypożyczalnie działają zaraz po przylocie. Alternatywą jest odbiór w centrum miasta, przy Stazione Reggio Calabria Centrale, dogodny, jeśli podróżujesz koleją. Porównując obie lokalizacje, odbiór na lotnisku wypada taniej niż w centrum miasta. Auto możesz też odebrać po drugiej stronie cieśniny, w Messina Centrale lub przy Messina Port Station, co przydaje się przy przeprawie na Sycylię. Dostępny jest również punkt w Villa San Giovanni, blisko terminalu promowego.</t>
  </si>
  <si>
    <t>The single paragraph packs multiple distinct topics (locations in Reggio, locations across the strait), which makes the content dense and hard to scan.</t>
  </si>
  <si>
    <t>Split the paragraph into two logical sections to improve readability and scannability.</t>
  </si>
  <si>
    <t>Samochód w Reggio di Calabria odbierzesz na Lotnisku Reggio di Calabria, gdzie wypożyczalnie działają zaraz po przylocie. Alternatywą jest odbiór w centrum miasta, przy Stazione Reggio Calabria Centrale, dogodny, jeśli podróżujesz koleją. Porównując obie lokalizacje, odbiór na lotnisku wypada taniej niż w centrum miasta.
Auto możesz też odebrać po drugiej stronie cieśniny, w Messina Centrale lub przy Messina Port Station, co przydaje się przy przeprawie na Sycylię. Dostępny jest również punkt w Villa San Giovanni, blisko terminalu promowego.</t>
  </si>
  <si>
    <t>Do najpopularniejszych należą ecovia, Maggiore oraz Filorent, przy czym najczęściej wybieranym pozostaje ecovia.</t>
  </si>
  <si>
    <t>The brand name 'ecovia' is not capitalized as a proper noun.</t>
  </si>
  <si>
    <t>Capitalize the brand name 'Ecovia' in both instances for consistency with proper noun conventions.</t>
  </si>
  <si>
    <t>Do najpopularniejszych należą Ecovia, Maggiore oraz Filorent, przy czym najczęściej wybieranym pozostaje Ecovia.</t>
  </si>
  <si>
    <t>Sieć autostrad, czyli autostrada, działa w systemie zamkniętym z biletami.</t>
  </si>
  <si>
    <t>The phrase 'czyli autostrada' is redundant and logically incorrect, as it equates a 'motorway network' with a single 'motorway'.</t>
  </si>
  <si>
    <t>Remove the redundant and logically incorrect phrase 'czyli autostrada' for clarity.</t>
  </si>
  <si>
    <t>Sieć autostrad działa w systemie zamkniętym z biletami.</t>
  </si>
  <si>
    <t>https://www.skyscanner.pl/wynajem-samochodow-w/wynajem-samochodow-w-s%c5%82oneczny-brzeg/33388124.html</t>
  </si>
  <si>
    <t>Podróżując z niewielkim bagażem, rozważysz Citroena C3 od addCar ze skrzynią ręczną w cenie od 176 zł za dobę.</t>
  </si>
  <si>
    <t>The verb 'rozważysz' is in the future tense, but the style guide requires the use of the imperative form for calls-to-action.</t>
  </si>
  <si>
    <t>Change the verb from the future tense 'rozważysz' to the imperative form 'rozważ' to comply with the style guide.</t>
  </si>
  <si>
    <t>Podróżując z niewielkim bagażem, rozważ Citroena C3 od addCar ze skrzynią ręczną w cenie od 176 zł za dobę.</t>
  </si>
  <si>
    <t>Jeśli zależy ci na automatycznej skrzyni, sprawdzisz Volkswagena Passata od addCar od 284 zł za dobę.</t>
  </si>
  <si>
    <t>The direct-address pronoun 'ci' is not capitalized and the verb 'sprawdzisz' is not in the required imperative form, violating two style guide rules.</t>
  </si>
  <si>
    <t>Capitalize the pronoun 'ci' to 'Ci' and change the verb 'sprawdzisz' to the imperative 'sprawdź' as required by the style guide.</t>
  </si>
  <si>
    <t>Jeśli zależy Ci na automatycznej skrzyni, sprawdź Volkswagena Passata od addCar od 284 zł za dobę.</t>
  </si>
  <si>
    <t>https://www.skyscanner.pl/wynajem-samochodow-w/wynajem-samochodow-w-samos/27547023.html</t>
  </si>
  <si>
    <t>Ofertę tego auta z ręczną skrzynią biegów znajdziesz u dostawcy VOLTA w cenie od 189 zł za dobę.</t>
  </si>
  <si>
    <t>The currency is incorrectly set to Polish Złoty (zł) instead of Euro (EUR) for a service in Samos, Greece. This pattern repeats for all prices mentioned.</t>
  </si>
  <si>
    <t>Replace the incorrect currency 'zł' with the correct currency for Greece, which is 'EUR'.</t>
  </si>
  <si>
    <t>Ofertę tego auta z ręczną skrzynią biegów znajdziesz u dostawcy VOLTA w cenie od 189 EUR za dobę.</t>
  </si>
  <si>
    <t>Samochód na Samos odbierzesz przede wszystkim na Lotnisku Samos, gdzie działa wielu wypożyczających.</t>
  </si>
  <si>
    <t>The term "wypożyczających" is ambiguous as it can mean both 'lenders' and 'borrowers', and is non-standard in this context. The correct, unambiguous term for 'rental companies' is "wypożyczalni".</t>
  </si>
  <si>
    <t>Replace "wielu wypożyczających" with "wiele wypożyczalni" for clarity and adherence to standard terminology.</t>
  </si>
  <si>
    <t>Samochód na Samos odbierzesz przede wszystkim na Lotnisku Samos, gdzie działa wiele wypożyczalni.</t>
  </si>
  <si>
    <t>Kwoty naliczane są w zależności od pokonanego dystansu, a opłaty regulujesz w punktach poboru gotówką, kartą lub za pomocą elektronicznych transponderów.</t>
  </si>
  <si>
    <t>The sentence inconsistently mixes passive voice ('Kwoty naliczane są') with direct address ('regulujesz'), which contradicts the style guide's rule to maintain a consistent form of address.</t>
  </si>
  <si>
    <t>Rewrite the first clause to use active voice for consistency with the second clause and the rest of the paragraph.</t>
  </si>
  <si>
    <t>Kwota zależy od pokonanego dystansu, a opłaty regulujesz w punktach poboru gotówką, kartą lub za pomocą elektronicznych transponderów.</t>
  </si>
  <si>
    <t>https://www.skyscanner.pl/wynajem-samochodow-w/wynajem-samochodow-w-zanzibar/39828399.html</t>
  </si>
  <si>
    <t>Wynajem samochodu w Zanzibarze zaczyna się od 66 zł, podczas gdy średnia roczna cena wynosi 144 zł.</t>
  </si>
  <si>
    <t>The currency is incorrect for the specified location. Prices for Zanzibar are listed in Polish Złoty (zł) instead of the local currency, Tanzanian Shilling (TZS), which could mislead the user.</t>
  </si>
  <si>
    <t>Rephrase to clarify that the prices are approximate equivalents presented in the user's currency. Change 'Wynajem... zaczyna się od...' to 'Ceny... zaczynają się od około...'.</t>
  </si>
  <si>
    <t>Ceny wynajmu samochodu w Zanzibarze zaczynają się od około 66 zł, podczas gdy średnia roczna cena wynosi 144 zł.</t>
  </si>
  <si>
    <t>Jeśli podróżujesz w mniejszym gronie, dobrą opcją będzie Hyundai Elantra od G Raffas Cars z automatyczną skrzynią biegów w cenie od 66 zł za dobę. Za tę samą stawkę dostępny jest też Nissan Juke od G Raffas Cars, również z automatyczną skrzynią. Nieco droższa jest Skoda Scala od tego samego dostawcy z automatyczną skrzynią biegów, dostępna od 81 zł za dobę.</t>
  </si>
  <si>
    <t>The currency PLN (zł) is incorrect for the location (Zanzibar), which is misleading for the user.</t>
  </si>
  <si>
    <t>Replace the currency 'zł' with 'USD' or '$', which is commonly used for tourism in Zanzibar. Apply this correction to all price mentions.</t>
  </si>
  <si>
    <t>Jeśli podróżujesz w mniejszym gronie, dobrą opcją będzie Hyundai Elantra od G Raffas Cars z automatyczną skrzynią biegów w cenie od 66 $ za dobę. Za tę samą stawkę dostępny jest też Nissan Juke od G Raffas Cars, również z automatyczną skrzynią. Nieco droższa jest Skoda Scala od tego samego dostawcy z automatyczną skrzynią biegów, dostępna od 81 $ za dobę.</t>
  </si>
  <si>
    <t>https://www.skyscanner.pl/wynajem-samochodow-w/wynajem-samochodow-w-berlin/27547053.html</t>
  </si>
  <si>
    <t>Porównując te warianty, weź pod uwagę rodzaj skrzyni biegów i dobową cenę, aby wybrać rozwiązanie zgodne z twoimi planami podróży.</t>
  </si>
  <si>
    <t>The direct-address possessive pronoun 'twoimi' is not capitalized, which violates the style guide's requirement.</t>
  </si>
  <si>
    <t>Capitalize the pronoun to 'Twoimi' to adhere to the required polite register.</t>
  </si>
  <si>
    <t>Porównując te warianty, weź pod uwagę rodzaj skrzyni biegów i dobową cenę, aby wybrać rozwiązanie zgodne z Twoimi planami podróży.</t>
  </si>
  <si>
    <t>Na drogach ekspresowych i drogach krajowych obowiązuje 100 km/h, natomiast w terenie zabudowanym poruszasz się z prędkością 50 km/h.</t>
  </si>
  <si>
    <t>The sentence inconsistently mixes an impersonal form ('obowiązuje') with a direct second-person address ('poruszasz się'), which violates the style guide rule to maintain a consistent form of address.</t>
  </si>
  <si>
    <t>Rewrite the second part of the sentence to use an impersonal form to match the first part, ensuring a consistent voice.</t>
  </si>
  <si>
    <t>Na drogach ekspresowych i drogach krajowych obowiązuje 100 km/h, natomiast w terenie zabudowanym należy poruszać się z prędkością 50 km/h.</t>
  </si>
  <si>
    <t>https://www.skyscanner.pl/wynajem-samochodow-w/wynajem-samochodow-w-rimini/27546187.html</t>
  </si>
  <si>
    <t>Najniższe stawki pojawiają się we wrześniu, więc warto zaplanować podróż na ten miesiąc, jeśli zależy ci na oszczędności.</t>
  </si>
  <si>
    <t>The direct-address pronoun 'ci' is not capitalized, which violates the Polish style guide's requirement to capitalize such pronouns when addressing the reader.</t>
  </si>
  <si>
    <t>Capitalize the pronoun 'ci' to 'Ci' to adhere to the project's style guide for direct address.</t>
  </si>
  <si>
    <t>Najniższe stawki pojawiają się we wrześniu, więc warto zaplanować podróż na ten miesiąc, jeśli zależy Ci na oszczędności.</t>
  </si>
  <si>
    <t>https://www.skyscanner.pl/wynajem-samochodow-w/wynajem-samochodow-w-wieden/27547395.html</t>
  </si>
  <si>
    <t>Najniższe stawki pojawiają się zwykle w listopadzie, dlatego warto zaplanować podróż na ten okres, jeśli zależy ci na oszczędności.</t>
  </si>
  <si>
    <t>The direct address pronoun 'ci' is not capitalized, which violates the Polish style guide's rule to capitalize direct-address pronouns.</t>
  </si>
  <si>
    <t>Capitalize the pronoun 'ci' to 'Ci' to comply with the language-specific style guide for direct address.</t>
  </si>
  <si>
    <t>Najniższe stawki pojawiają się zwykle w listopadzie, dlatego warto zaplanować podróż na ten okres, jeśli zależy Ci na oszczędności.</t>
  </si>
  <si>
    <t>Alternatywą pozostaje Volkswagen Golf od firmy Klasswagen.com, dostępny ze skrzynią ręczną od 88 zł za dobę.</t>
  </si>
  <si>
    <t>The provider's brand name incorrectly includes the '.com' suffix, which is not standard formatting for company names in running text.</t>
  </si>
  <si>
    <t>Remove the '.com' suffix from the brand name for correct and consistent representation.</t>
  </si>
  <si>
    <t>Alternatywą pozostaje Volkswagen Golf od firmy Klasswagen, dostępny ze skrzynią ręczną od 88 zł za dobę.</t>
  </si>
  <si>
    <t>Minimalny wiek wynajmu wynosi 21 lat, a kierowcy młodsi niż 25 lat często muszą liczyć się z dodatkową opłatą. Prowadzić auto możesz od 17. roku życia.</t>
  </si>
  <si>
    <t>The sentence stating the legal driving age (17) creates a misleading internal contradiction with the minimum rental age (21), as it is irrelevant to the conditions for renting a car and confuses the user about eligibility.</t>
  </si>
  <si>
    <t>Remove the sentence about the legal driving age, as it does not apply to the specific requirements for renting a car.</t>
  </si>
  <si>
    <t>Minimalny wiek wynajmu wynosi 21 lat, a kierowcy młodsi niż 25 lat często muszą liczyć się z dodatkową opłatą.</t>
  </si>
  <si>
    <t>2026-2027-pl-car-hire-city-10.docx</t>
  </si>
  <si>
    <t>https://www.skyscanner.pl/wynajem-samochodow-w/wynajem-samochodow-w-lloret-de-mar/29480590.html</t>
  </si>
  <si>
    <t>Zwróć uwagę na warunki najmu oraz zakres ubezpieczenia, aby dobrać samochód odpowiadający Twoim potrzebom podczas pobytu.</t>
  </si>
  <si>
    <t>The direct-address pronoun 'Twoim' is not capitalized, which violates the project's style guide for Polish.</t>
  </si>
  <si>
    <t>Capitalize the pronoun 'Twoim' to 'Twoim' to align with the style guide.</t>
  </si>
  <si>
    <t>Rezerwacja na lotnisku pozwala odebrać auto zaraz po wylądowaniu, bez dodatkowego dojazdu do centrum.</t>
  </si>
  <si>
    <t>A comma is incorrectly placed before an integral prepositional phrase, which disrupts the sentence flow.</t>
  </si>
  <si>
    <t>Remove the unnecessary comma before 'bez dodatkowego dojazdu do centrum'.</t>
  </si>
  <si>
    <t>Rezerwacja na lotnisku pozwala odebrać auto zaraz po wylądowaniu bez dodatkowego dojazdu do centrum.</t>
  </si>
  <si>
    <t>Minimalny wiek wynajmu wynosi 21 lat, przy czym wiele firm dolicza opłatę dla młodych kierowców poniżej 25 lat.</t>
  </si>
  <si>
    <t>The text creates an internal contradiction by first stating there is only one car rental supplier in the location, and then referring to "many companies" (wiele firm) in the same context.</t>
  </si>
  <si>
    <t>Rephrase to align with the "one supplier" context by referring to "the supplier" instead of "many companies".</t>
  </si>
  <si>
    <t>Minimalny wiek wynajmu wynosi 21 lat, przy czym dostawca może doliczyć opłatę dla młodych kierowców poniżej 25 lat.</t>
  </si>
  <si>
    <t>https://www.skyscanner.pl/wynajem-samochodow-w/wynajem-samochodow-w-bergen/27538759.html</t>
  </si>
  <si>
    <t>Wśród dostępnych ofert znajdziesz Volkswagena Caddy z manualną skrzynią biegów od Hertz w cenie od 273 zł za dobę.</t>
  </si>
  <si>
    <t>The term 'manualną' for manual transmission deviates from the mandated glossary term 'ręczną'.</t>
  </si>
  <si>
    <t>Replace 'manualną' with the glossary term 'ręczną'.</t>
  </si>
  <si>
    <t>Wśród dostępnych ofert znajdziesz Volkswagena Caddy z ręczną skrzynią biegów od Hertz w cenie od 273 zł za dobę.</t>
  </si>
  <si>
    <t>The price for a service in Norway is stated in PLN (zł) without qualification, which is misleading as the local currency is NOK and the value is likely a conversion. This pattern repeats with other prices in the text.</t>
  </si>
  <si>
    <t>Add 'ok.' before the price amount to indicate it is an approximate, converted value. Apply this to all prices.</t>
  </si>
  <si>
    <t>Wśród dostępnych ofert znajdziesz Volkswagena Caddy z manualną skrzynią biegów od Hertz w cenie od ok. 273 zł za dobę.</t>
  </si>
  <si>
    <t>https://www.skyscanner.pl/wynajem-samochodow-w/wynajem-samochodow-w-monachium/27545034.html</t>
  </si>
  <si>
    <t>Wśród dostępnych ofert znajdziesz Peugeota 408 od firmy Flex To Go ze skrzynią ręczną w cenie od 107 zł za dobę.</t>
  </si>
  <si>
    <t>The currency is incorrect for the location; Polish Złoty (zł) is used for a service in Munich, Germany, instead of the Euro (€). This pattern repeats for all prices in the text.</t>
  </si>
  <si>
    <t>Change the currency symbol from 'zł' to '€' to reflect the correct currency for the location.</t>
  </si>
  <si>
    <t>Wśród dostępnych ofert znajdziesz Peugeota 408 od firmy Flex To Go ze skrzynią ręczną w cenie od 107 € za dobę.</t>
  </si>
  <si>
    <t>https://www.skyscanner.pl/wynajem-samochodow-w/wynajem-samochodow-w-agadir/27536479.html</t>
  </si>
  <si>
    <t>Jeśli zależy ci na automatycznej skrzyni, rozważ Hyundai i20 od Rental24, dostępny od 91 zł za dobę.</t>
  </si>
  <si>
    <t>The second-person pronoun "ci" is not capitalized, violating the style guide's rule for capitalizing pronouns used in direct address.</t>
  </si>
  <si>
    <t>Capitalize the pronoun "ci" to "Ci" to comply with the Polish style guide.</t>
  </si>
  <si>
    <t>Jeśli zależy Ci na automatycznej skrzyni, rozważ Hyundai i20 od Rental24, dostępny od 91 zł za dobę.</t>
  </si>
  <si>
    <t>Jeśli twoje prawo jazdy nie jest zapisane alfabetem łacińskim, konieczne będzie międzynarodowe prawo jazdy, którego część agencji wymaga od wszystkich zagranicznych kierowców.</t>
  </si>
  <si>
    <t>The direct-address pronoun 'twoje' is not capitalized, which is a violation of the style guide's capitalization rule for direct address.</t>
  </si>
  <si>
    <t>Capitalize the pronoun 'twoje' to 'Twoje' to comply with the style guide.</t>
  </si>
  <si>
    <t>Jeśli Twoje prawo jazdy nie jest zapisane alfabetem łacińskim, konieczne będzie międzynarodowe prawo jazdy, którego część agencji wymaga od wszystkich zagranicznych kierowców.</t>
  </si>
  <si>
    <t>W kraju funkcjonują drogi płatne — krajowa sieć autostrad ADM działa w systemie zamkniętym.</t>
  </si>
  <si>
    <t>An em dash (—) was used for a parenthetical break, but the Polish style guide requires an en dash (–).</t>
  </si>
  <si>
    <t>Replace the em dash with an en dash as per locale-specific typographic rules.</t>
  </si>
  <si>
    <t>W kraju funkcjonują drogi płatne – krajowa sieć autostrad ADM działa w systemie zamkniętym.</t>
  </si>
  <si>
    <t>https://www.skyscanner.pl/wynajem-samochodow-w/wynajem-samochodow-w-lamezia-terme/27546311.html</t>
  </si>
  <si>
    <t>We Włoszech ruch odbywa się prawą stroną drogi. Na autostradach obowiązuje ograniczenie do 130 km/h, a na drogach ekspresowych do 110 km/h. Poza terenem zabudowanym na drogach krajowych możesz jechać do 90 km/h, natomiast na pozostałych drogach limit wynosi 50 km/h. Sieć autostrad (autostrada) działa w systemie zamkniętym: przy wjeździe pobierasz bilet, a opłatę uzależnioną od przejechanego dystansu regulujesz przy zjeździe. Zapłacisz gotówką, kartą lub za pomocą transpondera Telepass</t>
  </si>
  <si>
    <t>The final sentence of the paragraph is missing a terminal period.</t>
  </si>
  <si>
    <t>Add a period at the end of the last sentence to properly punctuate the paragraph.</t>
  </si>
  <si>
    <t>We Włoszech ruch odbywa się prawą stroną drogi. Na autostradach obowiązuje ograniczenie do 130 km/h, a na drogach ekspresowych do 110 km/h. Poza terenem zabudowanym na drogach krajowych możesz jechać do 90 km/h, natomiast na pozostałych drogach limit wynosi 50 km/h. Sieć autostrad (autostrada) działa w systemie zamkniętym: przy wjeździe pobierasz bilet, a opłatę uzależnioną od przejechanego dystansu regulujesz przy zjeździe. Zapłacisz gotówką, kartą lub za pomocą transpondera Telepass.</t>
  </si>
  <si>
    <t>https://www.skyscanner.pl/wynajem-samochodow-w/wynajem-samochodow-w-hamburg/27536295.html</t>
  </si>
  <si>
    <t>Jeśli szukasz kompaktowego auta z manualną skrzynią, dostawca Flex To Go oferuje Toyota Aygo od 268 zł za dobę.</t>
  </si>
  <si>
    <t>The term "manualną skrzynią" is incomplete and inconsistent with the glossary term "ręczna" and the term "ręczną skrzynią biegów" used in the preceding sentence.</t>
  </si>
  <si>
    <t>Change "manualną skrzynią" to "ręczną skrzynią biegów" for glossary compliance, grammatical correctness, and internal consistency.</t>
  </si>
  <si>
    <t>Jeśli szukasz kompaktowego auta z ręczną skrzynią biegów, dostawca Flex To Go oferuje Toyota Aygo od 268 zł za dobę.</t>
  </si>
  <si>
    <t>Auto podstawimy także w innych dzielnicach, takich jak Sankt Georg, Rotherbaum czy Harvestehude, a kolejne opcje obejmują Hamburg-Altona oraz okolice dworca Hamburg Central Station.</t>
  </si>
  <si>
    <t>The verb "podstawimy" (1st person plural, "we will provide") is inconsistent with the direct 2nd person singular address ("Ty" form) used throughout the rest of the text (e.g., "odbierzesz", "znajdziesz").</t>
  </si>
  <si>
    <t>Change the verb to the 2nd person singular ("odbierzesz") to maintain a consistent form of address as required by the style guide.</t>
  </si>
  <si>
    <t>Auto odbierzesz także w innych dzielnicach, takich jak Sankt Georg, Rotherbaum czy Harvestehude, a kolejne opcje obejmują Hamburg-Altona oraz okolice dworca Hamburg Central Station.</t>
  </si>
  <si>
    <t>Opłata drogowa dotyczy ciężarówek i autobusów o masie powyżej 3,5 tony, którzy uiszczają elektroniczną opłatę zależną od pokonanego dystansu (LKW-Maut), rozliczaną przez system GPS.</t>
  </si>
  <si>
    <t>The relative pronoun 'którzy' is used, which is reserved for masculine personal nouns, but it refers to inanimate objects ('ciężarówki i autobusy' - trucks and buses).</t>
  </si>
  <si>
    <t>Change the relative pronoun 'którzy' to 'które' to correctly agree with the non-personal nouns.</t>
  </si>
  <si>
    <t>Opłata drogowa dotyczy ciężarówek i autobusów o masie powyżej 3,5 tony, które uiszczają elektroniczną opłatę zależną od pokonanego dystansu (LKW-Maut), rozliczaną przez system GPS.</t>
  </si>
  <si>
    <t>https://www.skyscanner.pl/wynajem-samochodow-w/wynajem-samochodow-w-girona/27541920.html</t>
  </si>
  <si>
    <t>Poza tymi dwiema opcjami dostępne są także punkty w Figueres, Malgrat de Mar oraz Santa Susanna, jeśli wygodniej ci zacząć podróż bliżej wybrzeża lub w innej części regionu.</t>
  </si>
  <si>
    <t>The direct-address pronoun 'ci' is not capitalized, which violates the locale-specific style guide rule.</t>
  </si>
  <si>
    <t>Capitalize the pronoun 'ci' to 'Ci' to comply with the project's direct address formatting rules.</t>
  </si>
  <si>
    <t>Poza tymi dwiema opcjami dostępne są także punkty w Figueres, Malgrat de Mar oraz Santa Susanna, jeśli wygodniej Ci zacząć podróż bliżej wybrzeża lub w innej części regionu.</t>
  </si>
  <si>
    <t>Większość dróg typu autovía oraz drogi krajowe pozostaje bezpłatna, co ułatwia planowanie trasy bez dodatkowych kosztów.</t>
  </si>
  <si>
    <t>The singular verb 'pozostaje' and singular adjective 'bezpłatna' do not agree with the plural compound subject 'Większość dróg... oraz drogi krajowe'.</t>
  </si>
  <si>
    <t>Change the verb to its plural form 'pozostają' and the adjective to its plural form 'bezpłatne' to match the compound subject.</t>
  </si>
  <si>
    <t>Większość dróg typu autovía oraz drogi krajowe pozostają bezpłatne, co ułatwia planowanie trasy bez dodatkowych kosztów.</t>
  </si>
  <si>
    <t>https://www.skyscanner.pl/wynajem-samochodow-w/wynajem-samochodow-w-trapani/27547239.html</t>
  </si>
  <si>
    <t>U wypożyczalni ECH znajdziesz ten model ze skrzynią ręczną od 86 zł za dobę.</t>
  </si>
  <si>
    <t>The preposition 'u' is used colloquially. The standard and more appropriate preposition for an institution like a car rental company is 'w'.</t>
  </si>
  <si>
    <t>Replace the preposition 'u' with the correct form 'w'.</t>
  </si>
  <si>
    <t>W wypożyczalni ECH znajdziesz ten model ze skrzynią ręczną od 86 zł za dobę.</t>
  </si>
  <si>
    <t>Dostępność licznych wypożyczalni na lotnisku daje ci sporo możliwości dopasowania samochodu do własnych potrzeb.</t>
  </si>
  <si>
    <t>The direct-address pronoun 'ci' is not capitalized, which violates the mandatory Polish style guide rule.</t>
  </si>
  <si>
    <t>Capitalize the pronoun 'ci' to 'Ci' to comply with the project's style guide for direct address.</t>
  </si>
  <si>
    <t>Dostępność licznych wypożyczalni na lotnisku daje Ci sporo możliwości dopasowania samochodu do własnych potrzeb.</t>
  </si>
  <si>
    <t>Sieć autostrad, czyli autostrada, działa w systemie zamkniętym: przy wjeździe pobierasz bilet, a przy zjeździe płacisz według przejechanego dystansu.</t>
  </si>
  <si>
    <t>The phrase "Sieć autostrad, czyli autostrada" (A network of motorways, i.e. a motorway) is logically incorrect and impairs comprehension, as a network is not equivalent to a single road.</t>
  </si>
  <si>
    <t>Rephrase the subject to be logically sound. Change to "Włoskie autostrady" (Italian motorways) and adjust the verb to the plural form "działają".</t>
  </si>
  <si>
    <t>Włoskie autostrady działają w systemie zamkniętym: przy wjeździe pobierasz bilet, a przy zjeździe płacisz według przejechanego dystansu.</t>
  </si>
  <si>
    <t>https://www.skyscanner.pl/wynajem-samochodow-w/wynajem-samochodow-w-torremolinos/27551021.html</t>
  </si>
  <si>
    <t>Wynajem samochodu w Torremolinos zaczyna się od 30 zł, podczas gdy średnia roczna cena wynosi 157 zł. Ceny wahają się w zależności od pory roku, a najtaniej wypada wrzesień, kiedy stawki spadają najniżej. Aby uzyskać korzystną ofertę, rezerwuj samochód 1 tydzień wcześniej przed planowanym terminem odbioru. Porównanie propozycji różnych wypożyczalni pozwala dopasować cenę do budżetu i potrzeb. Warto sprawdzić dostępne modele oraz warunki najmu przed dokonaniem wyboru, uwzględniając daty podróży i preferowaną klasę pojazdu.</t>
  </si>
  <si>
    <t>The single paragraph combines multiple distinct ideas (pricing, booking timeline, comparison tips), which makes it difficult to scan for web content.</t>
  </si>
  <si>
    <t>Split the content into shorter, focused paragraphs to improve scannability and structure.</t>
  </si>
  <si>
    <t>Wynajem samochodu w Torremolinos zaczyna się od 30 zł, podczas gdy średnia roczna cena wynosi 157 zł. Ceny wahają się w zależności od pory roku, a najtaniej wypada wrzesień, kiedy stawki spadają najniżej.
Aby uzyskać korzystną ofertę, rezerwuj samochód 1 tydzień wcześniej przed planowanym terminem odbioru.
Porównanie propozycji różnych wypożyczalni pozwala dopasować cenę do budżetu i potrzeb. Warto sprawdzić dostępne modele oraz warunki najmu przed dokonaniem wyboru, uwzględniając daty podróży i preferowaną klasę pojazdu.</t>
  </si>
  <si>
    <t>https://www.skyscanner.pl/wynajem-samochodow-w/wynajem-samochodow-w-laganas/38354118.html</t>
  </si>
  <si>
    <t>Najniższe stawki pojawiają się zwykle w październiku, więc warto zaplanować podróż na ten miesiąc, jeśli zależy ci na oszczędności.</t>
  </si>
  <si>
    <t>The direct address pronoun 'ci' is not capitalized, which violates the Polish style guide's rule to capitalize such pronouns for politeness.</t>
  </si>
  <si>
    <t>Najniższe stawki pojawiają się zwykle w październiku, więc warto zaplanować podróż na ten miesiąc, jeśli zależy Ci na oszczędności.</t>
  </si>
  <si>
    <t>Volkswagen Tiguan od dostawcy Flex To Go z manualną przekładnią kosztuje od 182 zł za dobę.</t>
  </si>
  <si>
    <t>The term for 'manual transmission' is inconsistent within the paragraph, using 'skrzynią ręczną', 'ręczną skrzynią biegów', and 'manualną przekładnią'. The glossary term for 'manual' is 'ręczna', making 'manualną przekładnią' an inconsistent choice.</t>
  </si>
  <si>
    <t>Change 'manualną przekładnią' to 'ręczną skrzynią biegów' to align with the glossary and maintain consistency with other sentences in the paragraph.</t>
  </si>
  <si>
    <t>Volkswagen Tiguan od dostawcy Flex To Go z ręczną skrzynią biegów kosztuje od 182 zł za dobę.</t>
  </si>
  <si>
    <t>W Laganas dostępnych jest sześciu wypożyczających samochody.</t>
  </si>
  <si>
    <t>The numeral 'sześciu' and the participle 'wypożyczających' are in the masculine personal form, incorrectly implying 'six people who rent out cars' instead of six rental companies.</t>
  </si>
  <si>
    <t>Use the non-personal numeral 'sześć' and the correct noun 'wypożyczalni samochodów' to refer to business entities.</t>
  </si>
  <si>
    <t>W Laganas dostępnych jest sześć wypożyczalni samochodów.</t>
  </si>
  <si>
    <t>Opłata naliczana jest na podstawie przejechanej odległości i uiszczasz ją w punktach poboru gotówką, kartą lub za pomocą elektronicznego transpondera.</t>
  </si>
  <si>
    <t>The sentence inconsistently mixes an impersonal construction ('naliczana jest') with a direct, second-person form ('uiszczasz'), disrupting the formal tone. This pattern of inconsistent voice repeats in other sentences.</t>
  </si>
  <si>
    <t>Change the second part of the sentence to an impersonal form to maintain a consistent voice suitable for stating rules.</t>
  </si>
  <si>
    <t>Opłata naliczana jest na podstawie przejechanej odległości i uiszcza się ją w punktach poboru gotówką, kartą lub za pomocą elektronicznego transpondera.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</si>
</sst>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name val="Calibri"/>
      <charset val="134"/>
      <scheme val="minor"/>
    </font>
    <font>
      <b/>
      <sz val="18"/>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C7CE"/>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6">
    <xf numFmtId="0" fontId="0" fillId="0" borderId="0" xfId="0"/>
    <xf numFmtId="0" fontId="0" fillId="0" borderId="0" xfId="0" applyAlignment="1">
      <alignment vertical="top" wrapText="1"/>
    </xf>
    <xf numFmtId="0" fontId="1" fillId="0" borderId="0" xfId="0" applyFont="1"/>
    <xf numFmtId="0" fontId="2" fillId="0" borderId="0" xfId="0" applyFont="1"/>
    <xf numFmtId="0" fontId="1" fillId="2" borderId="0" xfId="0" applyFont="1" applyFill="1"/>
    <xf numFmtId="0" fontId="0" fillId="3"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Findings" displayName="Findings" ref="A1:I129">
  <autoFilter xmlns:etc="http://www.wps.cn/officeDocument/2017/etCustomData" ref="A1:I129" etc:filterBottomFollowUsedRange="0"/>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abSelected="1" topLeftCell="A2" workbookViewId="0">
      <selection activeCell="C6" sqref="C6"/>
    </sheetView>
  </sheetViews>
  <sheetFormatPr defaultColWidth="9" defaultRowHeight="14.4" outlineLevelCol="6"/>
  <cols>
    <col min="1" max="1" width="28" customWidth="1"/>
    <col min="2" max="2" width="68" customWidth="1"/>
    <col min="4" max="7" width="10" customWidth="1"/>
  </cols>
  <sheetData>
    <row r="1" spans="1:2">
      <c r="A1" s="2" t="s">
        <v>0</v>
      </c>
      <c r="B1" t="s">
        <v>1</v>
      </c>
    </row>
    <row r="2" spans="1:2">
      <c r="A2" s="2" t="s">
        <v>2</v>
      </c>
      <c r="B2" t="s">
        <v>3</v>
      </c>
    </row>
    <row r="3" spans="1:2">
      <c r="A3" s="2" t="s">
        <v>4</v>
      </c>
      <c r="B3" t="s">
        <v>5</v>
      </c>
    </row>
    <row r="5" ht="23.4" spans="1:2">
      <c r="A5" s="2" t="s">
        <v>6</v>
      </c>
      <c r="B5" s="3">
        <v>89.78</v>
      </c>
    </row>
    <row r="6" spans="1:2">
      <c r="A6" s="2" t="s">
        <v>7</v>
      </c>
      <c r="B6" s="4" t="s">
        <v>8</v>
      </c>
    </row>
    <row r="8" spans="1:7">
      <c r="A8" s="2" t="s">
        <v>9</v>
      </c>
      <c r="B8">
        <v>18974</v>
      </c>
      <c r="D8" s="2" t="s">
        <v>10</v>
      </c>
      <c r="E8" s="2" t="s">
        <v>11</v>
      </c>
      <c r="F8" s="2" t="s">
        <v>12</v>
      </c>
      <c r="G8" s="2" t="s">
        <v>13</v>
      </c>
    </row>
    <row r="9" spans="1:7">
      <c r="A9" s="2" t="s">
        <v>14</v>
      </c>
      <c r="B9">
        <v>194</v>
      </c>
      <c r="D9" s="5">
        <v>95</v>
      </c>
      <c r="E9" s="5">
        <v>33</v>
      </c>
      <c r="F9" s="5">
        <v>0</v>
      </c>
      <c r="G9" s="5">
        <f>SUM(D9:F9)</f>
        <v>128</v>
      </c>
    </row>
    <row r="10" spans="1:2">
      <c r="A10" s="2" t="s">
        <v>15</v>
      </c>
      <c r="B10">
        <v>0.01</v>
      </c>
    </row>
    <row r="11" spans="1:1">
      <c r="A11" s="2"/>
    </row>
    <row r="12" spans="1:2">
      <c r="A12" s="2" t="s">
        <v>16</v>
      </c>
      <c r="B12">
        <v>0</v>
      </c>
    </row>
    <row r="14" spans="1:4">
      <c r="A14" s="2" t="s">
        <v>17</v>
      </c>
      <c r="B14" s="2" t="s">
        <v>18</v>
      </c>
      <c r="C14" s="2" t="s">
        <v>15</v>
      </c>
      <c r="D14" s="2" t="s">
        <v>19</v>
      </c>
    </row>
    <row r="15" spans="1:4">
      <c r="A15" t="s">
        <v>20</v>
      </c>
      <c r="B15">
        <v>16</v>
      </c>
      <c r="C15">
        <f t="shared" ref="C15:C20" si="0">B15/$B$8</f>
        <v>0.000843259196795615</v>
      </c>
      <c r="D15">
        <f t="shared" ref="D15:D20" si="1">MAX(0,100-(C15*1000))</f>
        <v>99.1567408032044</v>
      </c>
    </row>
    <row r="16" spans="1:4">
      <c r="A16" t="s">
        <v>21</v>
      </c>
      <c r="B16">
        <v>61</v>
      </c>
      <c r="C16">
        <f t="shared" si="0"/>
        <v>0.00321492568778328</v>
      </c>
      <c r="D16">
        <f t="shared" si="1"/>
        <v>96.7850743122167</v>
      </c>
    </row>
    <row r="17" spans="1:4">
      <c r="A17" t="s">
        <v>22</v>
      </c>
      <c r="B17">
        <v>10</v>
      </c>
      <c r="C17">
        <f t="shared" si="0"/>
        <v>0.000527036997997259</v>
      </c>
      <c r="D17">
        <f t="shared" si="1"/>
        <v>99.4729630020027</v>
      </c>
    </row>
    <row r="18" spans="1:4">
      <c r="A18" t="s">
        <v>23</v>
      </c>
      <c r="B18">
        <v>79</v>
      </c>
      <c r="C18">
        <f t="shared" si="0"/>
        <v>0.00416359228417835</v>
      </c>
      <c r="D18">
        <f t="shared" si="1"/>
        <v>95.8364077158217</v>
      </c>
    </row>
    <row r="19" spans="1:4">
      <c r="A19" t="s">
        <v>24</v>
      </c>
      <c r="B19">
        <v>28</v>
      </c>
      <c r="C19">
        <f t="shared" si="0"/>
        <v>0.00147570359439233</v>
      </c>
      <c r="D19">
        <f t="shared" si="1"/>
        <v>98.5242964056077</v>
      </c>
    </row>
    <row r="20" spans="1:4">
      <c r="A20" t="s">
        <v>25</v>
      </c>
      <c r="B20">
        <v>0</v>
      </c>
      <c r="C20">
        <f t="shared" si="0"/>
        <v>0</v>
      </c>
      <c r="D20">
        <f t="shared" si="1"/>
        <v>100</v>
      </c>
    </row>
    <row r="22" ht="201.6" spans="1:2">
      <c r="A22" s="2" t="s">
        <v>26</v>
      </c>
      <c r="B22" s="1" t="s">
        <v>27</v>
      </c>
    </row>
    <row r="26" ht="172.8" spans="1:2">
      <c r="A26" s="2" t="s">
        <v>28</v>
      </c>
      <c r="B26" s="1" t="s">
        <v>29</v>
      </c>
    </row>
  </sheetData>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9"/>
  <sheetViews>
    <sheetView zoomScale="105" zoomScaleNormal="105" topLeftCell="D1" workbookViewId="0">
      <selection activeCell="I2" sqref="I2"/>
    </sheetView>
  </sheetViews>
  <sheetFormatPr defaultColWidth="9" defaultRowHeight="14.4"/>
  <cols>
    <col min="1" max="1" width="32" customWidth="1"/>
    <col min="2" max="2" width="48" customWidth="1"/>
    <col min="3" max="3" width="60" customWidth="1"/>
    <col min="4" max="4" width="40" customWidth="1"/>
    <col min="5" max="5" width="24" customWidth="1"/>
    <col min="6" max="6" width="12" customWidth="1"/>
    <col min="7" max="7" width="14" customWidth="1"/>
    <col min="8" max="8" width="40" customWidth="1"/>
    <col min="9" max="9" width="60" customWidth="1"/>
  </cols>
  <sheetData>
    <row r="1" ht="28.8" spans="1:9">
      <c r="A1" s="1" t="s">
        <v>30</v>
      </c>
      <c r="B1" s="1" t="s">
        <v>31</v>
      </c>
      <c r="C1" s="1" t="s">
        <v>32</v>
      </c>
      <c r="D1" s="1" t="s">
        <v>33</v>
      </c>
      <c r="E1" s="1" t="s">
        <v>34</v>
      </c>
      <c r="F1" s="1" t="s">
        <v>35</v>
      </c>
      <c r="G1" s="1" t="s">
        <v>36</v>
      </c>
      <c r="H1" s="1" t="s">
        <v>37</v>
      </c>
      <c r="I1" s="1" t="s">
        <v>38</v>
      </c>
    </row>
    <row r="2" ht="43.2" spans="1:9">
      <c r="A2" s="1" t="s">
        <v>39</v>
      </c>
      <c r="B2" s="1" t="s">
        <v>40</v>
      </c>
      <c r="C2" s="1" t="s">
        <v>41</v>
      </c>
      <c r="D2" s="1" t="s">
        <v>42</v>
      </c>
      <c r="E2" s="1" t="s">
        <v>21</v>
      </c>
      <c r="F2" s="1" t="s">
        <v>10</v>
      </c>
      <c r="G2" s="1">
        <v>1</v>
      </c>
      <c r="H2" s="1" t="s">
        <v>43</v>
      </c>
      <c r="I2" s="1" t="s">
        <v>41</v>
      </c>
    </row>
    <row r="3" ht="57.6" spans="1:9">
      <c r="A3" s="1" t="s">
        <v>39</v>
      </c>
      <c r="B3" s="1" t="s">
        <v>40</v>
      </c>
      <c r="C3" s="1" t="s">
        <v>44</v>
      </c>
      <c r="D3" s="1" t="s">
        <v>45</v>
      </c>
      <c r="E3" s="1" t="s">
        <v>23</v>
      </c>
      <c r="F3" s="1" t="s">
        <v>11</v>
      </c>
      <c r="G3" s="1">
        <v>3</v>
      </c>
      <c r="H3" s="1" t="s">
        <v>46</v>
      </c>
      <c r="I3" s="1" t="s">
        <v>47</v>
      </c>
    </row>
    <row r="4" ht="72" spans="1:9">
      <c r="A4" s="1" t="s">
        <v>39</v>
      </c>
      <c r="B4" s="1" t="s">
        <v>40</v>
      </c>
      <c r="C4" s="1" t="s">
        <v>48</v>
      </c>
      <c r="D4" s="1" t="s">
        <v>49</v>
      </c>
      <c r="E4" s="1" t="s">
        <v>21</v>
      </c>
      <c r="F4" s="1" t="s">
        <v>10</v>
      </c>
      <c r="G4" s="1">
        <v>1</v>
      </c>
      <c r="H4" s="1" t="s">
        <v>50</v>
      </c>
      <c r="I4" s="1" t="s">
        <v>51</v>
      </c>
    </row>
    <row r="5" ht="57.6" spans="1:9">
      <c r="A5" s="1" t="s">
        <v>39</v>
      </c>
      <c r="B5" s="1" t="s">
        <v>40</v>
      </c>
      <c r="C5" s="1" t="s">
        <v>52</v>
      </c>
      <c r="D5" s="1" t="s">
        <v>53</v>
      </c>
      <c r="E5" s="1" t="s">
        <v>24</v>
      </c>
      <c r="F5" s="1" t="s">
        <v>10</v>
      </c>
      <c r="G5" s="1">
        <v>1</v>
      </c>
      <c r="H5" s="1" t="s">
        <v>54</v>
      </c>
      <c r="I5" s="1" t="s">
        <v>55</v>
      </c>
    </row>
    <row r="6" ht="57.6" spans="1:9">
      <c r="A6" s="1" t="s">
        <v>39</v>
      </c>
      <c r="B6" s="1" t="s">
        <v>40</v>
      </c>
      <c r="C6" s="1" t="s">
        <v>56</v>
      </c>
      <c r="D6" s="1" t="s">
        <v>57</v>
      </c>
      <c r="E6" s="1" t="s">
        <v>22</v>
      </c>
      <c r="F6" s="1" t="s">
        <v>10</v>
      </c>
      <c r="G6" s="1">
        <v>1</v>
      </c>
      <c r="H6" s="1" t="s">
        <v>58</v>
      </c>
      <c r="I6" s="1" t="s">
        <v>59</v>
      </c>
    </row>
    <row r="7" ht="43.2" spans="1:9">
      <c r="A7" s="1" t="s">
        <v>39</v>
      </c>
      <c r="B7" s="1" t="s">
        <v>60</v>
      </c>
      <c r="C7" s="1" t="s">
        <v>61</v>
      </c>
      <c r="D7" s="1" t="s">
        <v>62</v>
      </c>
      <c r="E7" s="1" t="s">
        <v>21</v>
      </c>
      <c r="F7" s="1" t="s">
        <v>10</v>
      </c>
      <c r="G7" s="1">
        <v>1</v>
      </c>
      <c r="H7" s="1" t="s">
        <v>63</v>
      </c>
      <c r="I7" s="1" t="s">
        <v>64</v>
      </c>
    </row>
    <row r="8" ht="43.2" spans="1:9">
      <c r="A8" s="1" t="s">
        <v>39</v>
      </c>
      <c r="B8" s="1" t="s">
        <v>60</v>
      </c>
      <c r="C8" s="1" t="s">
        <v>65</v>
      </c>
      <c r="D8" s="1" t="s">
        <v>66</v>
      </c>
      <c r="E8" s="1" t="s">
        <v>20</v>
      </c>
      <c r="F8" s="1" t="s">
        <v>10</v>
      </c>
      <c r="G8" s="1">
        <v>1</v>
      </c>
      <c r="H8" s="1" t="s">
        <v>67</v>
      </c>
      <c r="I8" s="1" t="s">
        <v>68</v>
      </c>
    </row>
    <row r="9" ht="43.2" spans="1:9">
      <c r="A9" s="1" t="s">
        <v>39</v>
      </c>
      <c r="B9" s="1" t="s">
        <v>60</v>
      </c>
      <c r="C9" s="1" t="s">
        <v>69</v>
      </c>
      <c r="D9" s="1" t="s">
        <v>70</v>
      </c>
      <c r="E9" s="1" t="s">
        <v>21</v>
      </c>
      <c r="F9" s="1" t="s">
        <v>10</v>
      </c>
      <c r="G9" s="1">
        <v>1</v>
      </c>
      <c r="H9" s="1" t="s">
        <v>71</v>
      </c>
      <c r="I9" s="1" t="s">
        <v>72</v>
      </c>
    </row>
    <row r="10" ht="43.2" spans="1:9">
      <c r="A10" s="1" t="s">
        <v>39</v>
      </c>
      <c r="B10" s="1" t="s">
        <v>73</v>
      </c>
      <c r="C10" s="1" t="s">
        <v>74</v>
      </c>
      <c r="D10" s="1" t="s">
        <v>75</v>
      </c>
      <c r="E10" s="1" t="s">
        <v>21</v>
      </c>
      <c r="F10" s="1" t="s">
        <v>10</v>
      </c>
      <c r="G10" s="1">
        <v>1</v>
      </c>
      <c r="H10" s="1" t="s">
        <v>76</v>
      </c>
      <c r="I10" s="1" t="s">
        <v>77</v>
      </c>
    </row>
    <row r="11" ht="43.2" spans="1:9">
      <c r="A11" s="1" t="s">
        <v>39</v>
      </c>
      <c r="B11" s="1" t="s">
        <v>73</v>
      </c>
      <c r="C11" s="1" t="s">
        <v>78</v>
      </c>
      <c r="D11" s="1" t="s">
        <v>79</v>
      </c>
      <c r="E11" s="1" t="s">
        <v>21</v>
      </c>
      <c r="F11" s="1" t="s">
        <v>10</v>
      </c>
      <c r="G11" s="1">
        <v>1</v>
      </c>
      <c r="H11" s="1" t="s">
        <v>80</v>
      </c>
      <c r="I11" s="1" t="s">
        <v>78</v>
      </c>
    </row>
    <row r="12" ht="43.2" spans="1:9">
      <c r="A12" s="1" t="s">
        <v>39</v>
      </c>
      <c r="B12" s="1" t="s">
        <v>73</v>
      </c>
      <c r="C12" s="1" t="s">
        <v>81</v>
      </c>
      <c r="D12" s="1" t="s">
        <v>82</v>
      </c>
      <c r="E12" s="1" t="s">
        <v>20</v>
      </c>
      <c r="F12" s="1" t="s">
        <v>10</v>
      </c>
      <c r="G12" s="1">
        <v>1</v>
      </c>
      <c r="H12" s="1" t="s">
        <v>83</v>
      </c>
      <c r="I12" s="1" t="s">
        <v>84</v>
      </c>
    </row>
    <row r="13" ht="43.2" spans="1:9">
      <c r="A13" s="1" t="s">
        <v>39</v>
      </c>
      <c r="B13" s="1" t="s">
        <v>85</v>
      </c>
      <c r="C13" s="1" t="s">
        <v>86</v>
      </c>
      <c r="D13" s="1" t="s">
        <v>87</v>
      </c>
      <c r="E13" s="1" t="s">
        <v>23</v>
      </c>
      <c r="F13" s="1" t="s">
        <v>11</v>
      </c>
      <c r="G13" s="1">
        <v>3</v>
      </c>
      <c r="H13" s="1" t="s">
        <v>88</v>
      </c>
      <c r="I13" s="1" t="s">
        <v>89</v>
      </c>
    </row>
    <row r="14" ht="43.2" spans="1:9">
      <c r="A14" s="1" t="s">
        <v>39</v>
      </c>
      <c r="B14" s="1" t="s">
        <v>90</v>
      </c>
      <c r="C14" s="1" t="s">
        <v>91</v>
      </c>
      <c r="D14" s="1" t="s">
        <v>92</v>
      </c>
      <c r="E14" s="1" t="s">
        <v>21</v>
      </c>
      <c r="F14" s="1" t="s">
        <v>10</v>
      </c>
      <c r="G14" s="1">
        <v>1</v>
      </c>
      <c r="H14" s="1" t="s">
        <v>93</v>
      </c>
      <c r="I14" s="1" t="s">
        <v>94</v>
      </c>
    </row>
    <row r="15" ht="72" spans="1:9">
      <c r="A15" s="1" t="s">
        <v>39</v>
      </c>
      <c r="B15" s="1" t="s">
        <v>90</v>
      </c>
      <c r="C15" s="1" t="s">
        <v>95</v>
      </c>
      <c r="D15" s="1" t="s">
        <v>96</v>
      </c>
      <c r="E15" s="1" t="s">
        <v>22</v>
      </c>
      <c r="F15" s="1" t="s">
        <v>10</v>
      </c>
      <c r="G15" s="1">
        <v>1</v>
      </c>
      <c r="H15" s="1" t="s">
        <v>97</v>
      </c>
      <c r="I15" s="1" t="s">
        <v>98</v>
      </c>
    </row>
    <row r="16" ht="115.2" spans="1:9">
      <c r="A16" s="1" t="s">
        <v>39</v>
      </c>
      <c r="B16" s="1" t="s">
        <v>99</v>
      </c>
      <c r="C16" s="1" t="s">
        <v>100</v>
      </c>
      <c r="D16" s="1" t="s">
        <v>101</v>
      </c>
      <c r="E16" s="1" t="s">
        <v>20</v>
      </c>
      <c r="F16" s="1" t="s">
        <v>10</v>
      </c>
      <c r="G16" s="1">
        <v>1</v>
      </c>
      <c r="H16" s="1" t="s">
        <v>102</v>
      </c>
      <c r="I16" s="1" t="s">
        <v>103</v>
      </c>
    </row>
    <row r="17" ht="28.8" spans="1:9">
      <c r="A17" s="1" t="s">
        <v>39</v>
      </c>
      <c r="B17" s="1" t="s">
        <v>104</v>
      </c>
      <c r="C17" s="1" t="s">
        <v>105</v>
      </c>
      <c r="D17" s="1" t="s">
        <v>106</v>
      </c>
      <c r="E17" s="1" t="s">
        <v>21</v>
      </c>
      <c r="F17" s="1" t="s">
        <v>10</v>
      </c>
      <c r="G17" s="1">
        <v>1</v>
      </c>
      <c r="H17" s="1" t="s">
        <v>107</v>
      </c>
      <c r="I17" s="1" t="s">
        <v>108</v>
      </c>
    </row>
    <row r="18" ht="28.8" spans="1:9">
      <c r="A18" s="1" t="s">
        <v>39</v>
      </c>
      <c r="B18" s="1" t="s">
        <v>104</v>
      </c>
      <c r="C18" s="1" t="s">
        <v>109</v>
      </c>
      <c r="D18" s="1" t="s">
        <v>106</v>
      </c>
      <c r="E18" s="1" t="s">
        <v>21</v>
      </c>
      <c r="F18" s="1" t="s">
        <v>10</v>
      </c>
      <c r="G18" s="1">
        <v>1</v>
      </c>
      <c r="H18" s="1" t="s">
        <v>107</v>
      </c>
      <c r="I18" s="1" t="s">
        <v>110</v>
      </c>
    </row>
    <row r="19" ht="158.4" spans="1:9">
      <c r="A19" s="1" t="s">
        <v>39</v>
      </c>
      <c r="B19" s="1" t="s">
        <v>104</v>
      </c>
      <c r="C19" s="1" t="s">
        <v>111</v>
      </c>
      <c r="D19" s="1" t="s">
        <v>112</v>
      </c>
      <c r="E19" s="1" t="s">
        <v>24</v>
      </c>
      <c r="F19" s="1" t="s">
        <v>10</v>
      </c>
      <c r="G19" s="1">
        <v>1</v>
      </c>
      <c r="H19" s="1" t="s">
        <v>113</v>
      </c>
      <c r="I19" s="1" t="s">
        <v>114</v>
      </c>
    </row>
    <row r="20" ht="158.4" spans="1:9">
      <c r="A20" s="1" t="s">
        <v>39</v>
      </c>
      <c r="B20" s="1" t="s">
        <v>115</v>
      </c>
      <c r="C20" s="1" t="s">
        <v>116</v>
      </c>
      <c r="D20" s="1" t="s">
        <v>117</v>
      </c>
      <c r="E20" s="1" t="s">
        <v>24</v>
      </c>
      <c r="F20" s="1" t="s">
        <v>10</v>
      </c>
      <c r="G20" s="1">
        <v>1</v>
      </c>
      <c r="H20" s="1" t="s">
        <v>118</v>
      </c>
      <c r="I20" s="1" t="s">
        <v>119</v>
      </c>
    </row>
    <row r="21" ht="158.4" spans="1:9">
      <c r="A21" s="1" t="s">
        <v>39</v>
      </c>
      <c r="B21" s="1" t="s">
        <v>115</v>
      </c>
      <c r="C21" s="1" t="s">
        <v>120</v>
      </c>
      <c r="D21" s="1" t="s">
        <v>121</v>
      </c>
      <c r="E21" s="1" t="s">
        <v>24</v>
      </c>
      <c r="F21" s="1" t="s">
        <v>10</v>
      </c>
      <c r="G21" s="1">
        <v>1</v>
      </c>
      <c r="H21" s="1" t="s">
        <v>122</v>
      </c>
      <c r="I21" s="1" t="s">
        <v>123</v>
      </c>
    </row>
    <row r="22" ht="57.6" spans="1:9">
      <c r="A22" s="1" t="s">
        <v>39</v>
      </c>
      <c r="B22" s="1" t="s">
        <v>124</v>
      </c>
      <c r="C22" s="1" t="s">
        <v>125</v>
      </c>
      <c r="D22" s="1" t="s">
        <v>126</v>
      </c>
      <c r="E22" s="1" t="s">
        <v>20</v>
      </c>
      <c r="F22" s="1" t="s">
        <v>10</v>
      </c>
      <c r="G22" s="1">
        <v>1</v>
      </c>
      <c r="H22" s="1" t="s">
        <v>127</v>
      </c>
      <c r="I22" s="1" t="s">
        <v>128</v>
      </c>
    </row>
    <row r="23" ht="43.2" spans="1:9">
      <c r="A23" s="1" t="s">
        <v>39</v>
      </c>
      <c r="B23" s="1" t="s">
        <v>124</v>
      </c>
      <c r="C23" s="1" t="s">
        <v>129</v>
      </c>
      <c r="D23" s="1" t="s">
        <v>130</v>
      </c>
      <c r="E23" s="1" t="s">
        <v>21</v>
      </c>
      <c r="F23" s="1" t="s">
        <v>10</v>
      </c>
      <c r="G23" s="1">
        <v>1</v>
      </c>
      <c r="H23" s="1" t="s">
        <v>131</v>
      </c>
      <c r="I23" s="1" t="s">
        <v>132</v>
      </c>
    </row>
    <row r="24" ht="72" spans="1:9">
      <c r="A24" s="1" t="s">
        <v>39</v>
      </c>
      <c r="B24" s="1" t="s">
        <v>124</v>
      </c>
      <c r="C24" s="1" t="s">
        <v>133</v>
      </c>
      <c r="D24" s="1" t="s">
        <v>134</v>
      </c>
      <c r="E24" s="1" t="s">
        <v>24</v>
      </c>
      <c r="F24" s="1" t="s">
        <v>10</v>
      </c>
      <c r="G24" s="1">
        <v>1</v>
      </c>
      <c r="H24" s="1" t="s">
        <v>135</v>
      </c>
      <c r="I24" s="1" t="s">
        <v>136</v>
      </c>
    </row>
    <row r="25" ht="57.6" spans="1:9">
      <c r="A25" s="1" t="s">
        <v>39</v>
      </c>
      <c r="B25" s="1" t="s">
        <v>137</v>
      </c>
      <c r="C25" s="1" t="s">
        <v>138</v>
      </c>
      <c r="D25" s="1" t="s">
        <v>139</v>
      </c>
      <c r="E25" s="1" t="s">
        <v>24</v>
      </c>
      <c r="F25" s="1" t="s">
        <v>11</v>
      </c>
      <c r="G25" s="1">
        <v>3</v>
      </c>
      <c r="H25" s="1" t="s">
        <v>140</v>
      </c>
      <c r="I25" s="1" t="s">
        <v>141</v>
      </c>
    </row>
    <row r="26" ht="57.6" spans="1:9">
      <c r="A26" s="1" t="s">
        <v>39</v>
      </c>
      <c r="B26" s="1" t="s">
        <v>137</v>
      </c>
      <c r="C26" s="1" t="s">
        <v>142</v>
      </c>
      <c r="D26" s="1" t="s">
        <v>143</v>
      </c>
      <c r="E26" s="1" t="s">
        <v>24</v>
      </c>
      <c r="F26" s="1" t="s">
        <v>10</v>
      </c>
      <c r="G26" s="1">
        <v>1</v>
      </c>
      <c r="H26" s="1" t="s">
        <v>144</v>
      </c>
      <c r="I26" s="1" t="s">
        <v>145</v>
      </c>
    </row>
    <row r="27" ht="72" spans="1:9">
      <c r="A27" s="1" t="s">
        <v>39</v>
      </c>
      <c r="B27" s="1" t="s">
        <v>137</v>
      </c>
      <c r="C27" s="1" t="s">
        <v>146</v>
      </c>
      <c r="D27" s="1" t="s">
        <v>147</v>
      </c>
      <c r="E27" s="1" t="s">
        <v>23</v>
      </c>
      <c r="F27" s="1" t="s">
        <v>11</v>
      </c>
      <c r="G27" s="1">
        <v>3</v>
      </c>
      <c r="H27" s="1" t="s">
        <v>148</v>
      </c>
      <c r="I27" s="1" t="s">
        <v>149</v>
      </c>
    </row>
    <row r="28" ht="72" spans="1:9">
      <c r="A28" s="1" t="s">
        <v>39</v>
      </c>
      <c r="B28" s="1" t="s">
        <v>137</v>
      </c>
      <c r="C28" s="1" t="s">
        <v>150</v>
      </c>
      <c r="D28" s="1" t="s">
        <v>151</v>
      </c>
      <c r="E28" s="1" t="s">
        <v>24</v>
      </c>
      <c r="F28" s="1" t="s">
        <v>11</v>
      </c>
      <c r="G28" s="1">
        <v>3</v>
      </c>
      <c r="H28" s="1" t="s">
        <v>152</v>
      </c>
      <c r="I28" s="1" t="s">
        <v>153</v>
      </c>
    </row>
    <row r="29" ht="43.2" spans="1:9">
      <c r="A29" s="1" t="s">
        <v>39</v>
      </c>
      <c r="B29" s="1" t="s">
        <v>137</v>
      </c>
      <c r="C29" s="1" t="s">
        <v>154</v>
      </c>
      <c r="D29" s="1" t="s">
        <v>155</v>
      </c>
      <c r="E29" s="1" t="s">
        <v>22</v>
      </c>
      <c r="F29" s="1" t="s">
        <v>10</v>
      </c>
      <c r="G29" s="1">
        <v>1</v>
      </c>
      <c r="H29" s="1" t="s">
        <v>156</v>
      </c>
      <c r="I29" s="1" t="s">
        <v>154</v>
      </c>
    </row>
    <row r="30" ht="43.2" spans="1:9">
      <c r="A30" s="1" t="s">
        <v>157</v>
      </c>
      <c r="B30" s="1" t="s">
        <v>158</v>
      </c>
      <c r="C30" s="1" t="s">
        <v>159</v>
      </c>
      <c r="D30" s="1" t="s">
        <v>160</v>
      </c>
      <c r="E30" s="1" t="s">
        <v>21</v>
      </c>
      <c r="F30" s="1" t="s">
        <v>10</v>
      </c>
      <c r="G30" s="1">
        <v>1</v>
      </c>
      <c r="H30" s="1" t="s">
        <v>161</v>
      </c>
      <c r="I30" s="1" t="s">
        <v>162</v>
      </c>
    </row>
    <row r="31" ht="43.2" spans="1:9">
      <c r="A31" s="1" t="s">
        <v>157</v>
      </c>
      <c r="B31" s="1" t="s">
        <v>158</v>
      </c>
      <c r="C31" s="1" t="s">
        <v>163</v>
      </c>
      <c r="D31" s="1" t="s">
        <v>164</v>
      </c>
      <c r="E31" s="1" t="s">
        <v>20</v>
      </c>
      <c r="F31" s="1" t="s">
        <v>10</v>
      </c>
      <c r="G31" s="1">
        <v>1</v>
      </c>
      <c r="H31" s="1" t="s">
        <v>165</v>
      </c>
      <c r="I31" s="1" t="s">
        <v>166</v>
      </c>
    </row>
    <row r="32" ht="43.2" spans="1:9">
      <c r="A32" s="1" t="s">
        <v>157</v>
      </c>
      <c r="B32" s="1" t="s">
        <v>158</v>
      </c>
      <c r="C32" s="1" t="s">
        <v>167</v>
      </c>
      <c r="D32" s="1" t="s">
        <v>168</v>
      </c>
      <c r="E32" s="1" t="s">
        <v>21</v>
      </c>
      <c r="F32" s="1" t="s">
        <v>10</v>
      </c>
      <c r="G32" s="1">
        <v>1</v>
      </c>
      <c r="H32" s="1" t="s">
        <v>169</v>
      </c>
      <c r="I32" s="1" t="s">
        <v>170</v>
      </c>
    </row>
    <row r="33" ht="43.2" spans="1:9">
      <c r="A33" s="1" t="s">
        <v>157</v>
      </c>
      <c r="B33" s="1" t="s">
        <v>171</v>
      </c>
      <c r="C33" s="1" t="s">
        <v>172</v>
      </c>
      <c r="D33" s="1" t="s">
        <v>173</v>
      </c>
      <c r="E33" s="1" t="s">
        <v>23</v>
      </c>
      <c r="F33" s="1" t="s">
        <v>11</v>
      </c>
      <c r="G33" s="1">
        <v>3</v>
      </c>
      <c r="H33" s="1" t="s">
        <v>174</v>
      </c>
      <c r="I33" s="1" t="s">
        <v>175</v>
      </c>
    </row>
    <row r="34" ht="43.2" spans="1:9">
      <c r="A34" s="1" t="s">
        <v>157</v>
      </c>
      <c r="B34" s="1" t="s">
        <v>171</v>
      </c>
      <c r="C34" s="1" t="s">
        <v>176</v>
      </c>
      <c r="D34" s="1" t="s">
        <v>177</v>
      </c>
      <c r="E34" s="1" t="s">
        <v>21</v>
      </c>
      <c r="F34" s="1" t="s">
        <v>10</v>
      </c>
      <c r="G34" s="1">
        <v>1</v>
      </c>
      <c r="H34" s="1" t="s">
        <v>178</v>
      </c>
      <c r="I34" s="1" t="s">
        <v>179</v>
      </c>
    </row>
    <row r="35" ht="72" spans="1:9">
      <c r="A35" s="1" t="s">
        <v>157</v>
      </c>
      <c r="B35" s="1" t="s">
        <v>180</v>
      </c>
      <c r="C35" s="1" t="s">
        <v>181</v>
      </c>
      <c r="D35" s="1" t="s">
        <v>182</v>
      </c>
      <c r="E35" s="1" t="s">
        <v>21</v>
      </c>
      <c r="F35" s="1" t="s">
        <v>10</v>
      </c>
      <c r="G35" s="1">
        <v>1</v>
      </c>
      <c r="H35" s="1" t="s">
        <v>183</v>
      </c>
      <c r="I35" s="1" t="s">
        <v>184</v>
      </c>
    </row>
    <row r="36" ht="57.6" spans="1:9">
      <c r="A36" s="1" t="s">
        <v>157</v>
      </c>
      <c r="B36" s="1" t="s">
        <v>180</v>
      </c>
      <c r="C36" s="1" t="s">
        <v>185</v>
      </c>
      <c r="D36" s="1" t="s">
        <v>186</v>
      </c>
      <c r="E36" s="1" t="s">
        <v>21</v>
      </c>
      <c r="F36" s="1" t="s">
        <v>10</v>
      </c>
      <c r="G36" s="1">
        <v>1</v>
      </c>
      <c r="H36" s="1" t="s">
        <v>187</v>
      </c>
      <c r="I36" s="1" t="s">
        <v>188</v>
      </c>
    </row>
    <row r="37" ht="72" spans="1:9">
      <c r="A37" s="1" t="s">
        <v>157</v>
      </c>
      <c r="B37" s="1" t="s">
        <v>180</v>
      </c>
      <c r="C37" s="1" t="s">
        <v>189</v>
      </c>
      <c r="D37" s="1" t="s">
        <v>190</v>
      </c>
      <c r="E37" s="1" t="s">
        <v>20</v>
      </c>
      <c r="F37" s="1" t="s">
        <v>10</v>
      </c>
      <c r="G37" s="1">
        <v>1</v>
      </c>
      <c r="H37" s="1" t="s">
        <v>191</v>
      </c>
      <c r="I37" s="1" t="s">
        <v>192</v>
      </c>
    </row>
    <row r="38" ht="57.6" spans="1:9">
      <c r="A38" s="1" t="s">
        <v>157</v>
      </c>
      <c r="B38" s="1" t="s">
        <v>193</v>
      </c>
      <c r="C38" s="1" t="s">
        <v>194</v>
      </c>
      <c r="D38" s="1" t="s">
        <v>195</v>
      </c>
      <c r="E38" s="1" t="s">
        <v>21</v>
      </c>
      <c r="F38" s="1" t="s">
        <v>10</v>
      </c>
      <c r="G38" s="1">
        <v>1</v>
      </c>
      <c r="H38" s="1" t="s">
        <v>196</v>
      </c>
      <c r="I38" s="1" t="s">
        <v>197</v>
      </c>
    </row>
    <row r="39" ht="57.6" spans="1:9">
      <c r="A39" s="1" t="s">
        <v>157</v>
      </c>
      <c r="B39" s="1" t="s">
        <v>193</v>
      </c>
      <c r="C39" s="1" t="s">
        <v>198</v>
      </c>
      <c r="D39" s="1" t="s">
        <v>199</v>
      </c>
      <c r="E39" s="1" t="s">
        <v>23</v>
      </c>
      <c r="F39" s="1" t="s">
        <v>11</v>
      </c>
      <c r="G39" s="1">
        <v>3</v>
      </c>
      <c r="H39" s="1" t="s">
        <v>200</v>
      </c>
      <c r="I39" s="1" t="s">
        <v>201</v>
      </c>
    </row>
    <row r="40" ht="57.6" spans="1:9">
      <c r="A40" s="1" t="s">
        <v>157</v>
      </c>
      <c r="B40" s="1" t="s">
        <v>193</v>
      </c>
      <c r="C40" s="1" t="s">
        <v>202</v>
      </c>
      <c r="D40" s="1" t="s">
        <v>203</v>
      </c>
      <c r="E40" s="1" t="s">
        <v>23</v>
      </c>
      <c r="F40" s="1" t="s">
        <v>11</v>
      </c>
      <c r="G40" s="1">
        <v>3</v>
      </c>
      <c r="H40" s="1" t="s">
        <v>204</v>
      </c>
      <c r="I40" s="1" t="s">
        <v>205</v>
      </c>
    </row>
    <row r="41" ht="43.2" spans="1:9">
      <c r="A41" s="1" t="s">
        <v>157</v>
      </c>
      <c r="B41" s="1" t="s">
        <v>206</v>
      </c>
      <c r="C41" s="1" t="s">
        <v>207</v>
      </c>
      <c r="D41" s="1" t="s">
        <v>208</v>
      </c>
      <c r="E41" s="1" t="s">
        <v>23</v>
      </c>
      <c r="F41" s="1" t="s">
        <v>11</v>
      </c>
      <c r="G41" s="1">
        <v>3</v>
      </c>
      <c r="H41" s="1" t="s">
        <v>209</v>
      </c>
      <c r="I41" s="1" t="s">
        <v>210</v>
      </c>
    </row>
    <row r="42" ht="43.2" spans="1:9">
      <c r="A42" s="1" t="s">
        <v>157</v>
      </c>
      <c r="B42" s="1" t="s">
        <v>206</v>
      </c>
      <c r="C42" s="1" t="s">
        <v>211</v>
      </c>
      <c r="D42" s="1" t="s">
        <v>212</v>
      </c>
      <c r="E42" s="1" t="s">
        <v>21</v>
      </c>
      <c r="F42" s="1" t="s">
        <v>11</v>
      </c>
      <c r="G42" s="1">
        <v>3</v>
      </c>
      <c r="H42" s="1" t="s">
        <v>213</v>
      </c>
      <c r="I42" s="1" t="s">
        <v>214</v>
      </c>
    </row>
    <row r="43" ht="57.6" spans="1:9">
      <c r="A43" s="1" t="s">
        <v>157</v>
      </c>
      <c r="B43" s="1" t="s">
        <v>206</v>
      </c>
      <c r="C43" s="1" t="s">
        <v>215</v>
      </c>
      <c r="D43" s="1" t="s">
        <v>216</v>
      </c>
      <c r="E43" s="1" t="s">
        <v>23</v>
      </c>
      <c r="F43" s="1" t="s">
        <v>11</v>
      </c>
      <c r="G43" s="1">
        <v>3</v>
      </c>
      <c r="H43" s="1" t="s">
        <v>217</v>
      </c>
      <c r="I43" s="1" t="s">
        <v>218</v>
      </c>
    </row>
    <row r="44" ht="43.2" spans="1:9">
      <c r="A44" s="1" t="s">
        <v>157</v>
      </c>
      <c r="B44" s="1" t="s">
        <v>206</v>
      </c>
      <c r="C44" s="1" t="s">
        <v>219</v>
      </c>
      <c r="D44" s="1" t="s">
        <v>220</v>
      </c>
      <c r="E44" s="1" t="s">
        <v>20</v>
      </c>
      <c r="F44" s="1" t="s">
        <v>10</v>
      </c>
      <c r="G44" s="1">
        <v>1</v>
      </c>
      <c r="H44" s="1" t="s">
        <v>221</v>
      </c>
      <c r="I44" s="1" t="s">
        <v>222</v>
      </c>
    </row>
    <row r="45" ht="43.2" spans="1:9">
      <c r="A45" s="1" t="s">
        <v>157</v>
      </c>
      <c r="B45" s="1" t="s">
        <v>206</v>
      </c>
      <c r="C45" s="1" t="s">
        <v>223</v>
      </c>
      <c r="D45" s="1" t="s">
        <v>224</v>
      </c>
      <c r="E45" s="1" t="s">
        <v>22</v>
      </c>
      <c r="F45" s="1" t="s">
        <v>10</v>
      </c>
      <c r="G45" s="1">
        <v>1</v>
      </c>
      <c r="H45" s="1" t="s">
        <v>225</v>
      </c>
      <c r="I45" s="1" t="s">
        <v>226</v>
      </c>
    </row>
    <row r="46" ht="43.2" spans="1:9">
      <c r="A46" s="1" t="s">
        <v>157</v>
      </c>
      <c r="B46" s="1" t="s">
        <v>206</v>
      </c>
      <c r="C46" s="1" t="s">
        <v>227</v>
      </c>
      <c r="D46" s="1" t="s">
        <v>228</v>
      </c>
      <c r="E46" s="1" t="s">
        <v>21</v>
      </c>
      <c r="F46" s="1" t="s">
        <v>10</v>
      </c>
      <c r="G46" s="1">
        <v>1</v>
      </c>
      <c r="H46" s="1" t="s">
        <v>229</v>
      </c>
      <c r="I46" s="1" t="s">
        <v>230</v>
      </c>
    </row>
    <row r="47" ht="86.4" spans="1:9">
      <c r="A47" s="1" t="s">
        <v>157</v>
      </c>
      <c r="B47" s="1" t="s">
        <v>206</v>
      </c>
      <c r="C47" s="1" t="s">
        <v>231</v>
      </c>
      <c r="D47" s="1" t="s">
        <v>232</v>
      </c>
      <c r="E47" s="1" t="s">
        <v>21</v>
      </c>
      <c r="F47" s="1" t="s">
        <v>11</v>
      </c>
      <c r="G47" s="1">
        <v>3</v>
      </c>
      <c r="H47" s="1" t="s">
        <v>233</v>
      </c>
      <c r="I47" s="1" t="s">
        <v>234</v>
      </c>
    </row>
    <row r="48" ht="43.2" spans="1:9">
      <c r="A48" s="1" t="s">
        <v>157</v>
      </c>
      <c r="B48" s="1" t="s">
        <v>235</v>
      </c>
      <c r="C48" s="1" t="s">
        <v>236</v>
      </c>
      <c r="D48" s="1" t="s">
        <v>237</v>
      </c>
      <c r="E48" s="1" t="s">
        <v>23</v>
      </c>
      <c r="F48" s="1" t="s">
        <v>11</v>
      </c>
      <c r="G48" s="1">
        <v>3</v>
      </c>
      <c r="H48" s="1" t="s">
        <v>238</v>
      </c>
      <c r="I48" s="1" t="s">
        <v>239</v>
      </c>
    </row>
    <row r="49" ht="28.8" spans="1:9">
      <c r="A49" s="1" t="s">
        <v>157</v>
      </c>
      <c r="B49" s="1" t="s">
        <v>235</v>
      </c>
      <c r="C49" s="1" t="s">
        <v>240</v>
      </c>
      <c r="D49" s="1" t="s">
        <v>241</v>
      </c>
      <c r="E49" s="1" t="s">
        <v>20</v>
      </c>
      <c r="F49" s="1" t="s">
        <v>10</v>
      </c>
      <c r="G49" s="1">
        <v>1</v>
      </c>
      <c r="H49" s="1" t="s">
        <v>242</v>
      </c>
      <c r="I49" s="1" t="s">
        <v>243</v>
      </c>
    </row>
    <row r="50" ht="57.6" spans="1:9">
      <c r="A50" s="1" t="s">
        <v>157</v>
      </c>
      <c r="B50" s="1" t="s">
        <v>235</v>
      </c>
      <c r="C50" s="1" t="s">
        <v>244</v>
      </c>
      <c r="D50" s="1" t="s">
        <v>245</v>
      </c>
      <c r="E50" s="1" t="s">
        <v>23</v>
      </c>
      <c r="F50" s="1" t="s">
        <v>11</v>
      </c>
      <c r="G50" s="1">
        <v>3</v>
      </c>
      <c r="H50" s="1" t="s">
        <v>246</v>
      </c>
      <c r="I50" s="1" t="s">
        <v>247</v>
      </c>
    </row>
    <row r="51" ht="72" spans="1:9">
      <c r="A51" s="1" t="s">
        <v>157</v>
      </c>
      <c r="B51" s="1" t="s">
        <v>235</v>
      </c>
      <c r="C51" s="1" t="s">
        <v>248</v>
      </c>
      <c r="D51" s="1" t="s">
        <v>249</v>
      </c>
      <c r="E51" s="1" t="s">
        <v>23</v>
      </c>
      <c r="F51" s="1" t="s">
        <v>11</v>
      </c>
      <c r="G51" s="1">
        <v>3</v>
      </c>
      <c r="H51" s="1" t="s">
        <v>250</v>
      </c>
      <c r="I51" s="1" t="s">
        <v>251</v>
      </c>
    </row>
    <row r="52" ht="28.8" spans="1:9">
      <c r="A52" s="1" t="s">
        <v>157</v>
      </c>
      <c r="B52" s="1" t="s">
        <v>235</v>
      </c>
      <c r="C52" s="1" t="s">
        <v>252</v>
      </c>
      <c r="D52" s="1" t="s">
        <v>253</v>
      </c>
      <c r="E52" s="1" t="s">
        <v>24</v>
      </c>
      <c r="F52" s="1" t="s">
        <v>10</v>
      </c>
      <c r="G52" s="1">
        <v>1</v>
      </c>
      <c r="H52" s="1" t="s">
        <v>254</v>
      </c>
      <c r="I52" s="1" t="s">
        <v>255</v>
      </c>
    </row>
    <row r="53" ht="86.4" spans="1:9">
      <c r="A53" s="1" t="s">
        <v>157</v>
      </c>
      <c r="B53" s="1" t="s">
        <v>235</v>
      </c>
      <c r="C53" s="1" t="s">
        <v>256</v>
      </c>
      <c r="D53" s="1" t="s">
        <v>257</v>
      </c>
      <c r="E53" s="1" t="s">
        <v>21</v>
      </c>
      <c r="F53" s="1" t="s">
        <v>11</v>
      </c>
      <c r="G53" s="1">
        <v>3</v>
      </c>
      <c r="H53" s="1" t="s">
        <v>258</v>
      </c>
      <c r="I53" s="1" t="s">
        <v>259</v>
      </c>
    </row>
    <row r="54" ht="57.6" spans="1:9">
      <c r="A54" s="1" t="s">
        <v>157</v>
      </c>
      <c r="B54" s="1" t="s">
        <v>235</v>
      </c>
      <c r="C54" s="1" t="s">
        <v>260</v>
      </c>
      <c r="D54" s="1" t="s">
        <v>261</v>
      </c>
      <c r="E54" s="1" t="s">
        <v>24</v>
      </c>
      <c r="F54" s="1" t="s">
        <v>11</v>
      </c>
      <c r="G54" s="1">
        <v>3</v>
      </c>
      <c r="H54" s="1" t="s">
        <v>262</v>
      </c>
      <c r="I54" s="1" t="s">
        <v>263</v>
      </c>
    </row>
    <row r="55" ht="43.2" spans="1:9">
      <c r="A55" s="1" t="s">
        <v>157</v>
      </c>
      <c r="B55" s="1" t="s">
        <v>264</v>
      </c>
      <c r="C55" s="1" t="s">
        <v>265</v>
      </c>
      <c r="D55" s="1" t="s">
        <v>266</v>
      </c>
      <c r="E55" s="1" t="s">
        <v>21</v>
      </c>
      <c r="F55" s="1" t="s">
        <v>10</v>
      </c>
      <c r="G55" s="1">
        <v>1</v>
      </c>
      <c r="H55" s="1" t="s">
        <v>267</v>
      </c>
      <c r="I55" s="1" t="s">
        <v>265</v>
      </c>
    </row>
    <row r="56" ht="57.6" spans="1:9">
      <c r="A56" s="1" t="s">
        <v>157</v>
      </c>
      <c r="B56" s="1" t="s">
        <v>264</v>
      </c>
      <c r="C56" s="1" t="s">
        <v>268</v>
      </c>
      <c r="D56" s="1" t="s">
        <v>269</v>
      </c>
      <c r="E56" s="1" t="s">
        <v>23</v>
      </c>
      <c r="F56" s="1" t="s">
        <v>11</v>
      </c>
      <c r="G56" s="1">
        <v>3</v>
      </c>
      <c r="H56" s="1" t="s">
        <v>270</v>
      </c>
      <c r="I56" s="1" t="s">
        <v>271</v>
      </c>
    </row>
    <row r="57" ht="86.4" spans="1:9">
      <c r="A57" s="1" t="s">
        <v>157</v>
      </c>
      <c r="B57" s="1" t="s">
        <v>264</v>
      </c>
      <c r="C57" s="1" t="s">
        <v>272</v>
      </c>
      <c r="D57" s="1" t="s">
        <v>273</v>
      </c>
      <c r="E57" s="1" t="s">
        <v>23</v>
      </c>
      <c r="F57" s="1" t="s">
        <v>11</v>
      </c>
      <c r="G57" s="1">
        <v>3</v>
      </c>
      <c r="H57" s="1" t="s">
        <v>274</v>
      </c>
      <c r="I57" s="1" t="s">
        <v>275</v>
      </c>
    </row>
    <row r="58" ht="72" spans="1:9">
      <c r="A58" s="1" t="s">
        <v>157</v>
      </c>
      <c r="B58" s="1" t="s">
        <v>276</v>
      </c>
      <c r="C58" s="1" t="s">
        <v>277</v>
      </c>
      <c r="D58" s="1" t="s">
        <v>278</v>
      </c>
      <c r="E58" s="1" t="s">
        <v>23</v>
      </c>
      <c r="F58" s="1" t="s">
        <v>11</v>
      </c>
      <c r="G58" s="1">
        <v>3</v>
      </c>
      <c r="H58" s="1" t="s">
        <v>279</v>
      </c>
      <c r="I58" s="1" t="s">
        <v>280</v>
      </c>
    </row>
    <row r="59" ht="72" spans="1:9">
      <c r="A59" s="1" t="s">
        <v>157</v>
      </c>
      <c r="B59" s="1" t="s">
        <v>276</v>
      </c>
      <c r="C59" s="1" t="s">
        <v>281</v>
      </c>
      <c r="D59" s="1" t="s">
        <v>282</v>
      </c>
      <c r="E59" s="1" t="s">
        <v>20</v>
      </c>
      <c r="F59" s="1" t="s">
        <v>10</v>
      </c>
      <c r="G59" s="1">
        <v>1</v>
      </c>
      <c r="H59" s="1" t="s">
        <v>283</v>
      </c>
      <c r="I59" s="1" t="s">
        <v>284</v>
      </c>
    </row>
    <row r="60" ht="72" spans="1:9">
      <c r="A60" s="1" t="s">
        <v>157</v>
      </c>
      <c r="B60" s="1" t="s">
        <v>276</v>
      </c>
      <c r="C60" s="1" t="s">
        <v>285</v>
      </c>
      <c r="D60" s="1" t="s">
        <v>286</v>
      </c>
      <c r="E60" s="1" t="s">
        <v>21</v>
      </c>
      <c r="F60" s="1" t="s">
        <v>10</v>
      </c>
      <c r="G60" s="1">
        <v>1</v>
      </c>
      <c r="H60" s="1" t="s">
        <v>287</v>
      </c>
      <c r="I60" s="1" t="s">
        <v>288</v>
      </c>
    </row>
    <row r="61" ht="43.2" spans="1:9">
      <c r="A61" s="1" t="s">
        <v>157</v>
      </c>
      <c r="B61" s="1" t="s">
        <v>289</v>
      </c>
      <c r="C61" s="1" t="s">
        <v>290</v>
      </c>
      <c r="D61" s="1" t="s">
        <v>291</v>
      </c>
      <c r="E61" s="1" t="s">
        <v>21</v>
      </c>
      <c r="F61" s="1" t="s">
        <v>10</v>
      </c>
      <c r="G61" s="1">
        <v>1</v>
      </c>
      <c r="H61" s="1" t="s">
        <v>292</v>
      </c>
      <c r="I61" s="1" t="s">
        <v>293</v>
      </c>
    </row>
    <row r="62" ht="43.2" spans="1:9">
      <c r="A62" s="1" t="s">
        <v>157</v>
      </c>
      <c r="B62" s="1" t="s">
        <v>289</v>
      </c>
      <c r="C62" s="1" t="s">
        <v>294</v>
      </c>
      <c r="D62" s="1" t="s">
        <v>295</v>
      </c>
      <c r="E62" s="1" t="s">
        <v>24</v>
      </c>
      <c r="F62" s="1" t="s">
        <v>10</v>
      </c>
      <c r="G62" s="1">
        <v>1</v>
      </c>
      <c r="H62" s="1" t="s">
        <v>296</v>
      </c>
      <c r="I62" s="1" t="s">
        <v>297</v>
      </c>
    </row>
    <row r="63" ht="43.2" spans="1:9">
      <c r="A63" s="1" t="s">
        <v>157</v>
      </c>
      <c r="B63" s="1" t="s">
        <v>289</v>
      </c>
      <c r="C63" s="1" t="s">
        <v>298</v>
      </c>
      <c r="D63" s="1" t="s">
        <v>299</v>
      </c>
      <c r="E63" s="1" t="s">
        <v>21</v>
      </c>
      <c r="F63" s="1" t="s">
        <v>10</v>
      </c>
      <c r="G63" s="1">
        <v>1</v>
      </c>
      <c r="H63" s="1" t="s">
        <v>300</v>
      </c>
      <c r="I63" s="1" t="s">
        <v>301</v>
      </c>
    </row>
    <row r="64" ht="57.6" spans="1:9">
      <c r="A64" s="1" t="s">
        <v>157</v>
      </c>
      <c r="B64" s="1" t="s">
        <v>289</v>
      </c>
      <c r="C64" s="1" t="s">
        <v>302</v>
      </c>
      <c r="D64" s="1" t="s">
        <v>303</v>
      </c>
      <c r="E64" s="1" t="s">
        <v>21</v>
      </c>
      <c r="F64" s="1" t="s">
        <v>10</v>
      </c>
      <c r="G64" s="1">
        <v>1</v>
      </c>
      <c r="H64" s="1" t="s">
        <v>304</v>
      </c>
      <c r="I64" s="1" t="s">
        <v>305</v>
      </c>
    </row>
    <row r="65" ht="57.6" spans="1:9">
      <c r="A65" s="1" t="s">
        <v>157</v>
      </c>
      <c r="B65" s="1" t="s">
        <v>306</v>
      </c>
      <c r="C65" s="1" t="s">
        <v>307</v>
      </c>
      <c r="D65" s="1" t="s">
        <v>308</v>
      </c>
      <c r="E65" s="1" t="s">
        <v>21</v>
      </c>
      <c r="F65" s="1" t="s">
        <v>10</v>
      </c>
      <c r="G65" s="1">
        <v>1</v>
      </c>
      <c r="H65" s="1" t="s">
        <v>309</v>
      </c>
      <c r="I65" s="1" t="s">
        <v>310</v>
      </c>
    </row>
    <row r="66" ht="43.2" spans="1:9">
      <c r="A66" s="1" t="s">
        <v>157</v>
      </c>
      <c r="B66" s="1" t="s">
        <v>306</v>
      </c>
      <c r="C66" s="1" t="s">
        <v>311</v>
      </c>
      <c r="D66" s="1" t="s">
        <v>312</v>
      </c>
      <c r="E66" s="1" t="s">
        <v>22</v>
      </c>
      <c r="F66" s="1" t="s">
        <v>10</v>
      </c>
      <c r="G66" s="1">
        <v>1</v>
      </c>
      <c r="H66" s="1" t="s">
        <v>313</v>
      </c>
      <c r="I66" s="1" t="s">
        <v>314</v>
      </c>
    </row>
    <row r="67" ht="43.2" spans="1:9">
      <c r="A67" s="1" t="s">
        <v>315</v>
      </c>
      <c r="B67" s="1" t="s">
        <v>316</v>
      </c>
      <c r="C67" s="1" t="s">
        <v>317</v>
      </c>
      <c r="D67" s="1" t="s">
        <v>318</v>
      </c>
      <c r="E67" s="1" t="s">
        <v>23</v>
      </c>
      <c r="F67" s="1" t="s">
        <v>11</v>
      </c>
      <c r="G67" s="1">
        <v>3</v>
      </c>
      <c r="H67" s="1" t="s">
        <v>319</v>
      </c>
      <c r="I67" s="1" t="s">
        <v>320</v>
      </c>
    </row>
    <row r="68" ht="43.2" spans="1:9">
      <c r="A68" s="1" t="s">
        <v>315</v>
      </c>
      <c r="B68" s="1" t="s">
        <v>316</v>
      </c>
      <c r="C68" s="1" t="s">
        <v>321</v>
      </c>
      <c r="D68" s="1" t="s">
        <v>322</v>
      </c>
      <c r="E68" s="1" t="s">
        <v>21</v>
      </c>
      <c r="F68" s="1" t="s">
        <v>10</v>
      </c>
      <c r="G68" s="1">
        <v>1</v>
      </c>
      <c r="H68" s="1" t="s">
        <v>323</v>
      </c>
      <c r="I68" s="1" t="s">
        <v>324</v>
      </c>
    </row>
    <row r="69" ht="57.6" spans="1:9">
      <c r="A69" s="1" t="s">
        <v>315</v>
      </c>
      <c r="B69" s="1" t="s">
        <v>316</v>
      </c>
      <c r="C69" s="1" t="s">
        <v>325</v>
      </c>
      <c r="D69" s="1" t="s">
        <v>326</v>
      </c>
      <c r="E69" s="1" t="s">
        <v>21</v>
      </c>
      <c r="F69" s="1" t="s">
        <v>10</v>
      </c>
      <c r="G69" s="1">
        <v>1</v>
      </c>
      <c r="H69" s="1" t="s">
        <v>327</v>
      </c>
      <c r="I69" s="1" t="s">
        <v>328</v>
      </c>
    </row>
    <row r="70" ht="43.2" spans="1:9">
      <c r="A70" s="1" t="s">
        <v>315</v>
      </c>
      <c r="B70" s="1" t="s">
        <v>329</v>
      </c>
      <c r="C70" s="1" t="s">
        <v>330</v>
      </c>
      <c r="D70" s="1" t="s">
        <v>331</v>
      </c>
      <c r="E70" s="1" t="s">
        <v>21</v>
      </c>
      <c r="F70" s="1" t="s">
        <v>10</v>
      </c>
      <c r="G70" s="1">
        <v>1</v>
      </c>
      <c r="H70" s="1" t="s">
        <v>332</v>
      </c>
      <c r="I70" s="1" t="s">
        <v>333</v>
      </c>
    </row>
    <row r="71" ht="57.6" spans="1:9">
      <c r="A71" s="1" t="s">
        <v>315</v>
      </c>
      <c r="B71" s="1" t="s">
        <v>329</v>
      </c>
      <c r="C71" s="1" t="s">
        <v>334</v>
      </c>
      <c r="D71" s="1" t="s">
        <v>335</v>
      </c>
      <c r="E71" s="1" t="s">
        <v>21</v>
      </c>
      <c r="F71" s="1" t="s">
        <v>10</v>
      </c>
      <c r="G71" s="1">
        <v>1</v>
      </c>
      <c r="H71" s="1" t="s">
        <v>336</v>
      </c>
      <c r="I71" s="1" t="s">
        <v>337</v>
      </c>
    </row>
    <row r="72" ht="43.2" spans="1:9">
      <c r="A72" s="1" t="s">
        <v>315</v>
      </c>
      <c r="B72" s="1" t="s">
        <v>329</v>
      </c>
      <c r="C72" s="1" t="s">
        <v>338</v>
      </c>
      <c r="D72" s="1" t="s">
        <v>339</v>
      </c>
      <c r="E72" s="1" t="s">
        <v>22</v>
      </c>
      <c r="F72" s="1" t="s">
        <v>10</v>
      </c>
      <c r="G72" s="1">
        <v>1</v>
      </c>
      <c r="H72" s="1" t="s">
        <v>340</v>
      </c>
      <c r="I72" s="1" t="s">
        <v>341</v>
      </c>
    </row>
    <row r="73" ht="43.2" spans="1:9">
      <c r="A73" s="1" t="s">
        <v>315</v>
      </c>
      <c r="B73" s="1" t="s">
        <v>342</v>
      </c>
      <c r="C73" s="1" t="s">
        <v>343</v>
      </c>
      <c r="D73" s="1" t="s">
        <v>344</v>
      </c>
      <c r="E73" s="1" t="s">
        <v>21</v>
      </c>
      <c r="F73" s="1" t="s">
        <v>10</v>
      </c>
      <c r="G73" s="1">
        <v>1</v>
      </c>
      <c r="H73" s="1" t="s">
        <v>345</v>
      </c>
      <c r="I73" s="1" t="s">
        <v>343</v>
      </c>
    </row>
    <row r="74" ht="72" spans="1:9">
      <c r="A74" s="1" t="s">
        <v>315</v>
      </c>
      <c r="B74" s="1" t="s">
        <v>342</v>
      </c>
      <c r="C74" s="1" t="s">
        <v>346</v>
      </c>
      <c r="D74" s="1" t="s">
        <v>347</v>
      </c>
      <c r="E74" s="1" t="s">
        <v>24</v>
      </c>
      <c r="F74" s="1" t="s">
        <v>10</v>
      </c>
      <c r="G74" s="1">
        <v>1</v>
      </c>
      <c r="H74" s="1" t="s">
        <v>348</v>
      </c>
      <c r="I74" s="1" t="s">
        <v>349</v>
      </c>
    </row>
    <row r="75" ht="72" spans="1:9">
      <c r="A75" s="1" t="s">
        <v>315</v>
      </c>
      <c r="B75" s="1" t="s">
        <v>342</v>
      </c>
      <c r="C75" s="1" t="s">
        <v>350</v>
      </c>
      <c r="D75" s="1" t="s">
        <v>351</v>
      </c>
      <c r="E75" s="1" t="s">
        <v>23</v>
      </c>
      <c r="F75" s="1" t="s">
        <v>11</v>
      </c>
      <c r="G75" s="1">
        <v>3</v>
      </c>
      <c r="H75" s="1" t="s">
        <v>352</v>
      </c>
      <c r="I75" s="1" t="s">
        <v>353</v>
      </c>
    </row>
    <row r="76" ht="57.6" spans="1:9">
      <c r="A76" s="1" t="s">
        <v>315</v>
      </c>
      <c r="B76" s="1" t="s">
        <v>354</v>
      </c>
      <c r="C76" s="1" t="s">
        <v>355</v>
      </c>
      <c r="D76" s="1" t="s">
        <v>356</v>
      </c>
      <c r="E76" s="1" t="s">
        <v>23</v>
      </c>
      <c r="F76" s="1" t="s">
        <v>10</v>
      </c>
      <c r="G76" s="1">
        <v>1</v>
      </c>
      <c r="H76" s="1" t="s">
        <v>357</v>
      </c>
      <c r="I76" s="1" t="s">
        <v>358</v>
      </c>
    </row>
    <row r="77" ht="43.2" spans="1:9">
      <c r="A77" s="1" t="s">
        <v>315</v>
      </c>
      <c r="B77" s="1" t="s">
        <v>354</v>
      </c>
      <c r="C77" s="1" t="s">
        <v>359</v>
      </c>
      <c r="D77" s="1" t="s">
        <v>360</v>
      </c>
      <c r="E77" s="1" t="s">
        <v>22</v>
      </c>
      <c r="F77" s="1" t="s">
        <v>10</v>
      </c>
      <c r="G77" s="1">
        <v>1</v>
      </c>
      <c r="H77" s="1" t="s">
        <v>361</v>
      </c>
      <c r="I77" s="1" t="s">
        <v>362</v>
      </c>
    </row>
    <row r="78" ht="57.6" spans="1:9">
      <c r="A78" s="1" t="s">
        <v>315</v>
      </c>
      <c r="B78" s="1" t="s">
        <v>354</v>
      </c>
      <c r="C78" s="1" t="s">
        <v>363</v>
      </c>
      <c r="D78" s="1" t="s">
        <v>364</v>
      </c>
      <c r="E78" s="1" t="s">
        <v>21</v>
      </c>
      <c r="F78" s="1" t="s">
        <v>10</v>
      </c>
      <c r="G78" s="1">
        <v>1</v>
      </c>
      <c r="H78" s="1" t="s">
        <v>365</v>
      </c>
      <c r="I78" s="1" t="s">
        <v>366</v>
      </c>
    </row>
    <row r="79" ht="72" spans="1:9">
      <c r="A79" s="1" t="s">
        <v>315</v>
      </c>
      <c r="B79" s="1" t="s">
        <v>367</v>
      </c>
      <c r="C79" s="1" t="s">
        <v>368</v>
      </c>
      <c r="D79" s="1" t="s">
        <v>369</v>
      </c>
      <c r="E79" s="1" t="s">
        <v>23</v>
      </c>
      <c r="F79" s="1" t="s">
        <v>11</v>
      </c>
      <c r="G79" s="1">
        <v>3</v>
      </c>
      <c r="H79" s="1" t="s">
        <v>370</v>
      </c>
      <c r="I79" s="1" t="s">
        <v>371</v>
      </c>
    </row>
    <row r="80" ht="57.6" spans="1:9">
      <c r="A80" s="1" t="s">
        <v>315</v>
      </c>
      <c r="B80" s="1" t="s">
        <v>367</v>
      </c>
      <c r="C80" s="1" t="s">
        <v>372</v>
      </c>
      <c r="D80" s="1" t="s">
        <v>373</v>
      </c>
      <c r="E80" s="1" t="s">
        <v>20</v>
      </c>
      <c r="F80" s="1" t="s">
        <v>10</v>
      </c>
      <c r="G80" s="1">
        <v>1</v>
      </c>
      <c r="H80" s="1" t="s">
        <v>374</v>
      </c>
      <c r="I80" s="1" t="s">
        <v>375</v>
      </c>
    </row>
    <row r="81" ht="57.6" spans="1:9">
      <c r="A81" s="1" t="s">
        <v>315</v>
      </c>
      <c r="B81" s="1" t="s">
        <v>367</v>
      </c>
      <c r="C81" s="1" t="s">
        <v>376</v>
      </c>
      <c r="D81" s="1" t="s">
        <v>377</v>
      </c>
      <c r="E81" s="1" t="s">
        <v>21</v>
      </c>
      <c r="F81" s="1" t="s">
        <v>10</v>
      </c>
      <c r="G81" s="1">
        <v>1</v>
      </c>
      <c r="H81" s="1" t="s">
        <v>378</v>
      </c>
      <c r="I81" s="1" t="s">
        <v>379</v>
      </c>
    </row>
    <row r="82" ht="57.6" spans="1:9">
      <c r="A82" s="1" t="s">
        <v>315</v>
      </c>
      <c r="B82" s="1" t="s">
        <v>380</v>
      </c>
      <c r="C82" s="1" t="s">
        <v>381</v>
      </c>
      <c r="D82" s="1" t="s">
        <v>382</v>
      </c>
      <c r="E82" s="1" t="s">
        <v>21</v>
      </c>
      <c r="F82" s="1" t="s">
        <v>10</v>
      </c>
      <c r="G82" s="1">
        <v>1</v>
      </c>
      <c r="H82" s="1" t="s">
        <v>383</v>
      </c>
      <c r="I82" s="1" t="s">
        <v>384</v>
      </c>
    </row>
    <row r="83" ht="57.6" spans="1:9">
      <c r="A83" s="1" t="s">
        <v>315</v>
      </c>
      <c r="B83" s="1" t="s">
        <v>385</v>
      </c>
      <c r="C83" s="1" t="s">
        <v>386</v>
      </c>
      <c r="D83" s="1" t="s">
        <v>387</v>
      </c>
      <c r="E83" s="1" t="s">
        <v>21</v>
      </c>
      <c r="F83" s="1" t="s">
        <v>10</v>
      </c>
      <c r="G83" s="1">
        <v>1</v>
      </c>
      <c r="H83" s="1" t="s">
        <v>388</v>
      </c>
      <c r="I83" s="1" t="s">
        <v>389</v>
      </c>
    </row>
    <row r="84" ht="72" spans="1:9">
      <c r="A84" s="1" t="s">
        <v>315</v>
      </c>
      <c r="B84" s="1" t="s">
        <v>390</v>
      </c>
      <c r="C84" s="1" t="s">
        <v>391</v>
      </c>
      <c r="D84" s="1" t="s">
        <v>392</v>
      </c>
      <c r="E84" s="1" t="s">
        <v>23</v>
      </c>
      <c r="F84" s="1" t="s">
        <v>11</v>
      </c>
      <c r="G84" s="1">
        <v>3</v>
      </c>
      <c r="H84" s="1" t="s">
        <v>393</v>
      </c>
      <c r="I84" s="1" t="s">
        <v>394</v>
      </c>
    </row>
    <row r="85" ht="57.6" spans="1:9">
      <c r="A85" s="1" t="s">
        <v>315</v>
      </c>
      <c r="B85" s="1" t="s">
        <v>390</v>
      </c>
      <c r="C85" s="1" t="s">
        <v>395</v>
      </c>
      <c r="D85" s="1" t="s">
        <v>396</v>
      </c>
      <c r="E85" s="1" t="s">
        <v>24</v>
      </c>
      <c r="F85" s="1" t="s">
        <v>10</v>
      </c>
      <c r="G85" s="1">
        <v>1</v>
      </c>
      <c r="H85" s="1" t="s">
        <v>397</v>
      </c>
      <c r="I85" s="1" t="s">
        <v>398</v>
      </c>
    </row>
    <row r="86" ht="57.6" spans="1:9">
      <c r="A86" s="1" t="s">
        <v>399</v>
      </c>
      <c r="B86" s="1" t="s">
        <v>400</v>
      </c>
      <c r="C86" s="1" t="s">
        <v>401</v>
      </c>
      <c r="D86" s="1" t="s">
        <v>402</v>
      </c>
      <c r="E86" s="1" t="s">
        <v>20</v>
      </c>
      <c r="F86" s="1" t="s">
        <v>10</v>
      </c>
      <c r="G86" s="1">
        <v>1</v>
      </c>
      <c r="H86" s="1" t="s">
        <v>403</v>
      </c>
      <c r="I86" s="1" t="s">
        <v>404</v>
      </c>
    </row>
    <row r="87" ht="43.2" spans="1:9">
      <c r="A87" s="1" t="s">
        <v>399</v>
      </c>
      <c r="B87" s="1" t="s">
        <v>405</v>
      </c>
      <c r="C87" s="1" t="s">
        <v>406</v>
      </c>
      <c r="D87" s="1" t="s">
        <v>407</v>
      </c>
      <c r="E87" s="1" t="s">
        <v>21</v>
      </c>
      <c r="F87" s="1" t="s">
        <v>10</v>
      </c>
      <c r="G87" s="1">
        <v>1</v>
      </c>
      <c r="H87" s="1" t="s">
        <v>408</v>
      </c>
      <c r="I87" s="1" t="s">
        <v>406</v>
      </c>
    </row>
    <row r="88" ht="43.2" spans="1:9">
      <c r="A88" s="1" t="s">
        <v>399</v>
      </c>
      <c r="B88" s="1" t="s">
        <v>405</v>
      </c>
      <c r="C88" s="1" t="s">
        <v>409</v>
      </c>
      <c r="D88" s="1" t="s">
        <v>410</v>
      </c>
      <c r="E88" s="1" t="s">
        <v>20</v>
      </c>
      <c r="F88" s="1" t="s">
        <v>10</v>
      </c>
      <c r="G88" s="1">
        <v>1</v>
      </c>
      <c r="H88" s="1" t="s">
        <v>411</v>
      </c>
      <c r="I88" s="1" t="s">
        <v>412</v>
      </c>
    </row>
    <row r="89" ht="72" spans="1:9">
      <c r="A89" s="1" t="s">
        <v>399</v>
      </c>
      <c r="B89" s="1" t="s">
        <v>413</v>
      </c>
      <c r="C89" s="1" t="s">
        <v>414</v>
      </c>
      <c r="D89" s="1" t="s">
        <v>415</v>
      </c>
      <c r="E89" s="1" t="s">
        <v>20</v>
      </c>
      <c r="F89" s="1" t="s">
        <v>10</v>
      </c>
      <c r="G89" s="1">
        <v>1</v>
      </c>
      <c r="H89" s="1" t="s">
        <v>416</v>
      </c>
      <c r="I89" s="1" t="s">
        <v>417</v>
      </c>
    </row>
    <row r="90" ht="43.2" spans="1:9">
      <c r="A90" s="1" t="s">
        <v>399</v>
      </c>
      <c r="B90" s="1" t="s">
        <v>418</v>
      </c>
      <c r="C90" s="1" t="s">
        <v>419</v>
      </c>
      <c r="D90" s="1" t="s">
        <v>420</v>
      </c>
      <c r="E90" s="1" t="s">
        <v>21</v>
      </c>
      <c r="F90" s="1" t="s">
        <v>10</v>
      </c>
      <c r="G90" s="1">
        <v>1</v>
      </c>
      <c r="H90" s="1" t="s">
        <v>421</v>
      </c>
      <c r="I90" s="1" t="s">
        <v>422</v>
      </c>
    </row>
    <row r="91" ht="144" spans="1:9">
      <c r="A91" s="1" t="s">
        <v>399</v>
      </c>
      <c r="B91" s="1" t="s">
        <v>418</v>
      </c>
      <c r="C91" s="1" t="s">
        <v>423</v>
      </c>
      <c r="D91" s="1" t="s">
        <v>424</v>
      </c>
      <c r="E91" s="1" t="s">
        <v>24</v>
      </c>
      <c r="F91" s="1" t="s">
        <v>10</v>
      </c>
      <c r="G91" s="1">
        <v>1</v>
      </c>
      <c r="H91" s="1" t="s">
        <v>425</v>
      </c>
      <c r="I91" s="1" t="s">
        <v>426</v>
      </c>
    </row>
    <row r="92" ht="43.2" spans="1:9">
      <c r="A92" s="1" t="s">
        <v>399</v>
      </c>
      <c r="B92" s="1" t="s">
        <v>418</v>
      </c>
      <c r="C92" s="1" t="s">
        <v>427</v>
      </c>
      <c r="D92" s="1" t="s">
        <v>428</v>
      </c>
      <c r="E92" s="1" t="s">
        <v>21</v>
      </c>
      <c r="F92" s="1" t="s">
        <v>10</v>
      </c>
      <c r="G92" s="1">
        <v>1</v>
      </c>
      <c r="H92" s="1" t="s">
        <v>429</v>
      </c>
      <c r="I92" s="1" t="s">
        <v>430</v>
      </c>
    </row>
    <row r="93" ht="43.2" spans="1:9">
      <c r="A93" s="1" t="s">
        <v>399</v>
      </c>
      <c r="B93" s="1" t="s">
        <v>418</v>
      </c>
      <c r="C93" s="1" t="s">
        <v>431</v>
      </c>
      <c r="D93" s="1" t="s">
        <v>432</v>
      </c>
      <c r="E93" s="1" t="s">
        <v>24</v>
      </c>
      <c r="F93" s="1" t="s">
        <v>10</v>
      </c>
      <c r="G93" s="1">
        <v>1</v>
      </c>
      <c r="H93" s="1" t="s">
        <v>433</v>
      </c>
      <c r="I93" s="1" t="s">
        <v>434</v>
      </c>
    </row>
    <row r="94" ht="43.2" spans="1:9">
      <c r="A94" s="1" t="s">
        <v>399</v>
      </c>
      <c r="B94" s="1" t="s">
        <v>435</v>
      </c>
      <c r="C94" s="1" t="s">
        <v>436</v>
      </c>
      <c r="D94" s="1" t="s">
        <v>437</v>
      </c>
      <c r="E94" s="1" t="s">
        <v>21</v>
      </c>
      <c r="F94" s="1" t="s">
        <v>10</v>
      </c>
      <c r="G94" s="1">
        <v>1</v>
      </c>
      <c r="H94" s="1" t="s">
        <v>438</v>
      </c>
      <c r="I94" s="1" t="s">
        <v>439</v>
      </c>
    </row>
    <row r="95" ht="43.2" spans="1:9">
      <c r="A95" s="1" t="s">
        <v>399</v>
      </c>
      <c r="B95" s="1" t="s">
        <v>435</v>
      </c>
      <c r="C95" s="1" t="s">
        <v>440</v>
      </c>
      <c r="D95" s="1" t="s">
        <v>441</v>
      </c>
      <c r="E95" s="1" t="s">
        <v>21</v>
      </c>
      <c r="F95" s="1" t="s">
        <v>10</v>
      </c>
      <c r="G95" s="1">
        <v>1</v>
      </c>
      <c r="H95" s="1" t="s">
        <v>442</v>
      </c>
      <c r="I95" s="1" t="s">
        <v>443</v>
      </c>
    </row>
    <row r="96" ht="57.6" spans="1:9">
      <c r="A96" s="1" t="s">
        <v>399</v>
      </c>
      <c r="B96" s="1" t="s">
        <v>444</v>
      </c>
      <c r="C96" s="1" t="s">
        <v>445</v>
      </c>
      <c r="D96" s="1" t="s">
        <v>446</v>
      </c>
      <c r="E96" s="1" t="s">
        <v>23</v>
      </c>
      <c r="F96" s="1" t="s">
        <v>11</v>
      </c>
      <c r="G96" s="1">
        <v>3</v>
      </c>
      <c r="H96" s="1" t="s">
        <v>447</v>
      </c>
      <c r="I96" s="1" t="s">
        <v>448</v>
      </c>
    </row>
    <row r="97" ht="72" spans="1:9">
      <c r="A97" s="1" t="s">
        <v>399</v>
      </c>
      <c r="B97" s="1" t="s">
        <v>444</v>
      </c>
      <c r="C97" s="1" t="s">
        <v>449</v>
      </c>
      <c r="D97" s="1" t="s">
        <v>450</v>
      </c>
      <c r="E97" s="1" t="s">
        <v>24</v>
      </c>
      <c r="F97" s="1" t="s">
        <v>10</v>
      </c>
      <c r="G97" s="1">
        <v>1</v>
      </c>
      <c r="H97" s="1" t="s">
        <v>451</v>
      </c>
      <c r="I97" s="1" t="s">
        <v>452</v>
      </c>
    </row>
    <row r="98" ht="57.6" spans="1:9">
      <c r="A98" s="1" t="s">
        <v>399</v>
      </c>
      <c r="B98" s="1" t="s">
        <v>444</v>
      </c>
      <c r="C98" s="1" t="s">
        <v>453</v>
      </c>
      <c r="D98" s="1" t="s">
        <v>454</v>
      </c>
      <c r="E98" s="1" t="s">
        <v>24</v>
      </c>
      <c r="F98" s="1" t="s">
        <v>10</v>
      </c>
      <c r="G98" s="1">
        <v>1</v>
      </c>
      <c r="H98" s="1" t="s">
        <v>455</v>
      </c>
      <c r="I98" s="1" t="s">
        <v>456</v>
      </c>
    </row>
    <row r="99" ht="72" spans="1:9">
      <c r="A99" s="1" t="s">
        <v>399</v>
      </c>
      <c r="B99" s="1" t="s">
        <v>457</v>
      </c>
      <c r="C99" s="1" t="s">
        <v>458</v>
      </c>
      <c r="D99" s="1" t="s">
        <v>459</v>
      </c>
      <c r="E99" s="1" t="s">
        <v>23</v>
      </c>
      <c r="F99" s="1" t="s">
        <v>11</v>
      </c>
      <c r="G99" s="1">
        <v>3</v>
      </c>
      <c r="H99" s="1" t="s">
        <v>460</v>
      </c>
      <c r="I99" s="1" t="s">
        <v>461</v>
      </c>
    </row>
    <row r="100" ht="86.4" spans="1:9">
      <c r="A100" s="1" t="s">
        <v>399</v>
      </c>
      <c r="B100" s="1" t="s">
        <v>457</v>
      </c>
      <c r="C100" s="1" t="s">
        <v>462</v>
      </c>
      <c r="D100" s="1" t="s">
        <v>463</v>
      </c>
      <c r="E100" s="1" t="s">
        <v>23</v>
      </c>
      <c r="F100" s="1" t="s">
        <v>11</v>
      </c>
      <c r="G100" s="1">
        <v>3</v>
      </c>
      <c r="H100" s="1" t="s">
        <v>464</v>
      </c>
      <c r="I100" s="1" t="s">
        <v>465</v>
      </c>
    </row>
    <row r="101" ht="43.2" spans="1:9">
      <c r="A101" s="1" t="s">
        <v>399</v>
      </c>
      <c r="B101" s="1" t="s">
        <v>466</v>
      </c>
      <c r="C101" s="1" t="s">
        <v>467</v>
      </c>
      <c r="D101" s="1" t="s">
        <v>468</v>
      </c>
      <c r="E101" s="1" t="s">
        <v>21</v>
      </c>
      <c r="F101" s="1" t="s">
        <v>10</v>
      </c>
      <c r="G101" s="1">
        <v>1</v>
      </c>
      <c r="H101" s="1" t="s">
        <v>469</v>
      </c>
      <c r="I101" s="1" t="s">
        <v>470</v>
      </c>
    </row>
    <row r="102" ht="72" spans="1:9">
      <c r="A102" s="1" t="s">
        <v>399</v>
      </c>
      <c r="B102" s="1" t="s">
        <v>466</v>
      </c>
      <c r="C102" s="1" t="s">
        <v>471</v>
      </c>
      <c r="D102" s="1" t="s">
        <v>472</v>
      </c>
      <c r="E102" s="1" t="s">
        <v>21</v>
      </c>
      <c r="F102" s="1" t="s">
        <v>10</v>
      </c>
      <c r="G102" s="1">
        <v>1</v>
      </c>
      <c r="H102" s="1" t="s">
        <v>473</v>
      </c>
      <c r="I102" s="1" t="s">
        <v>474</v>
      </c>
    </row>
    <row r="103" ht="57.6" spans="1:9">
      <c r="A103" s="1" t="s">
        <v>399</v>
      </c>
      <c r="B103" s="1" t="s">
        <v>475</v>
      </c>
      <c r="C103" s="1" t="s">
        <v>476</v>
      </c>
      <c r="D103" s="1" t="s">
        <v>477</v>
      </c>
      <c r="E103" s="1" t="s">
        <v>21</v>
      </c>
      <c r="F103" s="1" t="s">
        <v>10</v>
      </c>
      <c r="G103" s="1">
        <v>1</v>
      </c>
      <c r="H103" s="1" t="s">
        <v>478</v>
      </c>
      <c r="I103" s="1" t="s">
        <v>479</v>
      </c>
    </row>
    <row r="104" ht="43.2" spans="1:9">
      <c r="A104" s="1" t="s">
        <v>399</v>
      </c>
      <c r="B104" s="1" t="s">
        <v>480</v>
      </c>
      <c r="C104" s="1" t="s">
        <v>481</v>
      </c>
      <c r="D104" s="1" t="s">
        <v>482</v>
      </c>
      <c r="E104" s="1" t="s">
        <v>21</v>
      </c>
      <c r="F104" s="1" t="s">
        <v>10</v>
      </c>
      <c r="G104" s="1">
        <v>1</v>
      </c>
      <c r="H104" s="1" t="s">
        <v>483</v>
      </c>
      <c r="I104" s="1" t="s">
        <v>484</v>
      </c>
    </row>
    <row r="105" ht="43.2" spans="1:9">
      <c r="A105" s="1" t="s">
        <v>399</v>
      </c>
      <c r="B105" s="1" t="s">
        <v>480</v>
      </c>
      <c r="C105" s="1" t="s">
        <v>485</v>
      </c>
      <c r="D105" s="1" t="s">
        <v>486</v>
      </c>
      <c r="E105" s="1" t="s">
        <v>21</v>
      </c>
      <c r="F105" s="1" t="s">
        <v>10</v>
      </c>
      <c r="G105" s="1">
        <v>1</v>
      </c>
      <c r="H105" s="1" t="s">
        <v>487</v>
      </c>
      <c r="I105" s="1" t="s">
        <v>488</v>
      </c>
    </row>
    <row r="106" ht="72" spans="1:9">
      <c r="A106" s="1" t="s">
        <v>399</v>
      </c>
      <c r="B106" s="1" t="s">
        <v>480</v>
      </c>
      <c r="C106" s="1" t="s">
        <v>489</v>
      </c>
      <c r="D106" s="1" t="s">
        <v>490</v>
      </c>
      <c r="E106" s="1" t="s">
        <v>23</v>
      </c>
      <c r="F106" s="1" t="s">
        <v>11</v>
      </c>
      <c r="G106" s="1">
        <v>3</v>
      </c>
      <c r="H106" s="1" t="s">
        <v>491</v>
      </c>
      <c r="I106" s="1" t="s">
        <v>492</v>
      </c>
    </row>
    <row r="107" ht="43.2" spans="1:9">
      <c r="A107" s="1" t="s">
        <v>493</v>
      </c>
      <c r="B107" s="1" t="s">
        <v>494</v>
      </c>
      <c r="C107" s="1" t="s">
        <v>495</v>
      </c>
      <c r="D107" s="1" t="s">
        <v>496</v>
      </c>
      <c r="E107" s="1" t="s">
        <v>21</v>
      </c>
      <c r="F107" s="1" t="s">
        <v>10</v>
      </c>
      <c r="G107" s="1">
        <v>1</v>
      </c>
      <c r="H107" s="1" t="s">
        <v>497</v>
      </c>
      <c r="I107" s="1" t="s">
        <v>495</v>
      </c>
    </row>
    <row r="108" ht="43.2" spans="1:9">
      <c r="A108" s="1" t="s">
        <v>493</v>
      </c>
      <c r="B108" s="1" t="s">
        <v>494</v>
      </c>
      <c r="C108" s="1" t="s">
        <v>498</v>
      </c>
      <c r="D108" s="1" t="s">
        <v>499</v>
      </c>
      <c r="E108" s="1" t="s">
        <v>22</v>
      </c>
      <c r="F108" s="1" t="s">
        <v>10</v>
      </c>
      <c r="G108" s="1">
        <v>1</v>
      </c>
      <c r="H108" s="1" t="s">
        <v>500</v>
      </c>
      <c r="I108" s="1" t="s">
        <v>501</v>
      </c>
    </row>
    <row r="109" ht="57.6" spans="1:9">
      <c r="A109" s="1" t="s">
        <v>493</v>
      </c>
      <c r="B109" s="1" t="s">
        <v>494</v>
      </c>
      <c r="C109" s="1" t="s">
        <v>502</v>
      </c>
      <c r="D109" s="1" t="s">
        <v>503</v>
      </c>
      <c r="E109" s="1" t="s">
        <v>23</v>
      </c>
      <c r="F109" s="1" t="s">
        <v>11</v>
      </c>
      <c r="G109" s="1">
        <v>3</v>
      </c>
      <c r="H109" s="1" t="s">
        <v>504</v>
      </c>
      <c r="I109" s="1" t="s">
        <v>505</v>
      </c>
    </row>
    <row r="110" ht="43.2" spans="1:9">
      <c r="A110" s="1" t="s">
        <v>493</v>
      </c>
      <c r="B110" s="1" t="s">
        <v>506</v>
      </c>
      <c r="C110" s="1" t="s">
        <v>507</v>
      </c>
      <c r="D110" s="1" t="s">
        <v>508</v>
      </c>
      <c r="E110" s="1" t="s">
        <v>21</v>
      </c>
      <c r="F110" s="1" t="s">
        <v>10</v>
      </c>
      <c r="G110" s="1">
        <v>1</v>
      </c>
      <c r="H110" s="1" t="s">
        <v>509</v>
      </c>
      <c r="I110" s="1" t="s">
        <v>510</v>
      </c>
    </row>
    <row r="111" ht="72" spans="1:9">
      <c r="A111" s="1" t="s">
        <v>493</v>
      </c>
      <c r="B111" s="1" t="s">
        <v>506</v>
      </c>
      <c r="C111" s="1" t="s">
        <v>507</v>
      </c>
      <c r="D111" s="1" t="s">
        <v>511</v>
      </c>
      <c r="E111" s="1" t="s">
        <v>23</v>
      </c>
      <c r="F111" s="1" t="s">
        <v>11</v>
      </c>
      <c r="G111" s="1">
        <v>3</v>
      </c>
      <c r="H111" s="1" t="s">
        <v>512</v>
      </c>
      <c r="I111" s="1" t="s">
        <v>513</v>
      </c>
    </row>
    <row r="112" ht="57.6" spans="1:9">
      <c r="A112" s="1" t="s">
        <v>493</v>
      </c>
      <c r="B112" s="1" t="s">
        <v>514</v>
      </c>
      <c r="C112" s="1" t="s">
        <v>515</v>
      </c>
      <c r="D112" s="1" t="s">
        <v>516</v>
      </c>
      <c r="E112" s="1" t="s">
        <v>23</v>
      </c>
      <c r="F112" s="1" t="s">
        <v>11</v>
      </c>
      <c r="G112" s="1">
        <v>3</v>
      </c>
      <c r="H112" s="1" t="s">
        <v>517</v>
      </c>
      <c r="I112" s="1" t="s">
        <v>518</v>
      </c>
    </row>
    <row r="113" ht="43.2" spans="1:9">
      <c r="A113" s="1" t="s">
        <v>493</v>
      </c>
      <c r="B113" s="1" t="s">
        <v>519</v>
      </c>
      <c r="C113" s="1" t="s">
        <v>520</v>
      </c>
      <c r="D113" s="1" t="s">
        <v>521</v>
      </c>
      <c r="E113" s="1" t="s">
        <v>21</v>
      </c>
      <c r="F113" s="1" t="s">
        <v>10</v>
      </c>
      <c r="G113" s="1">
        <v>1</v>
      </c>
      <c r="H113" s="1" t="s">
        <v>522</v>
      </c>
      <c r="I113" s="1" t="s">
        <v>523</v>
      </c>
    </row>
    <row r="114" ht="43.2" spans="1:9">
      <c r="A114" s="1" t="s">
        <v>493</v>
      </c>
      <c r="B114" s="1" t="s">
        <v>519</v>
      </c>
      <c r="C114" s="1" t="s">
        <v>524</v>
      </c>
      <c r="D114" s="1" t="s">
        <v>525</v>
      </c>
      <c r="E114" s="1" t="s">
        <v>21</v>
      </c>
      <c r="F114" s="1" t="s">
        <v>10</v>
      </c>
      <c r="G114" s="1">
        <v>1</v>
      </c>
      <c r="H114" s="1" t="s">
        <v>526</v>
      </c>
      <c r="I114" s="1" t="s">
        <v>527</v>
      </c>
    </row>
    <row r="115" ht="43.2" spans="1:9">
      <c r="A115" s="1" t="s">
        <v>493</v>
      </c>
      <c r="B115" s="1" t="s">
        <v>519</v>
      </c>
      <c r="C115" s="1" t="s">
        <v>528</v>
      </c>
      <c r="D115" s="1" t="s">
        <v>529</v>
      </c>
      <c r="E115" s="1" t="s">
        <v>22</v>
      </c>
      <c r="F115" s="1" t="s">
        <v>10</v>
      </c>
      <c r="G115" s="1">
        <v>1</v>
      </c>
      <c r="H115" s="1" t="s">
        <v>530</v>
      </c>
      <c r="I115" s="1" t="s">
        <v>531</v>
      </c>
    </row>
    <row r="116" ht="115.2" spans="1:9">
      <c r="A116" s="1" t="s">
        <v>493</v>
      </c>
      <c r="B116" s="1" t="s">
        <v>532</v>
      </c>
      <c r="C116" s="1" t="s">
        <v>533</v>
      </c>
      <c r="D116" s="1" t="s">
        <v>534</v>
      </c>
      <c r="E116" s="1" t="s">
        <v>22</v>
      </c>
      <c r="F116" s="1" t="s">
        <v>10</v>
      </c>
      <c r="G116" s="1">
        <v>1</v>
      </c>
      <c r="H116" s="1" t="s">
        <v>535</v>
      </c>
      <c r="I116" s="1" t="s">
        <v>536</v>
      </c>
    </row>
    <row r="117" ht="57.6" spans="1:9">
      <c r="A117" s="1" t="s">
        <v>493</v>
      </c>
      <c r="B117" s="1" t="s">
        <v>537</v>
      </c>
      <c r="C117" s="1" t="s">
        <v>538</v>
      </c>
      <c r="D117" s="1" t="s">
        <v>539</v>
      </c>
      <c r="E117" s="1" t="s">
        <v>21</v>
      </c>
      <c r="F117" s="1" t="s">
        <v>10</v>
      </c>
      <c r="G117" s="1">
        <v>1</v>
      </c>
      <c r="H117" s="1" t="s">
        <v>540</v>
      </c>
      <c r="I117" s="1" t="s">
        <v>541</v>
      </c>
    </row>
    <row r="118" ht="72" spans="1:9">
      <c r="A118" s="1" t="s">
        <v>493</v>
      </c>
      <c r="B118" s="1" t="s">
        <v>537</v>
      </c>
      <c r="C118" s="1" t="s">
        <v>542</v>
      </c>
      <c r="D118" s="1" t="s">
        <v>543</v>
      </c>
      <c r="E118" s="1" t="s">
        <v>21</v>
      </c>
      <c r="F118" s="1" t="s">
        <v>10</v>
      </c>
      <c r="G118" s="1">
        <v>1</v>
      </c>
      <c r="H118" s="1" t="s">
        <v>544</v>
      </c>
      <c r="I118" s="1" t="s">
        <v>545</v>
      </c>
    </row>
    <row r="119" ht="57.6" spans="1:9">
      <c r="A119" s="1" t="s">
        <v>493</v>
      </c>
      <c r="B119" s="1" t="s">
        <v>537</v>
      </c>
      <c r="C119" s="1" t="s">
        <v>546</v>
      </c>
      <c r="D119" s="1" t="s">
        <v>547</v>
      </c>
      <c r="E119" s="1" t="s">
        <v>20</v>
      </c>
      <c r="F119" s="1" t="s">
        <v>10</v>
      </c>
      <c r="G119" s="1">
        <v>1</v>
      </c>
      <c r="H119" s="1" t="s">
        <v>548</v>
      </c>
      <c r="I119" s="1" t="s">
        <v>549</v>
      </c>
    </row>
    <row r="120" ht="43.2" spans="1:9">
      <c r="A120" s="1" t="s">
        <v>493</v>
      </c>
      <c r="B120" s="1" t="s">
        <v>550</v>
      </c>
      <c r="C120" s="1" t="s">
        <v>551</v>
      </c>
      <c r="D120" s="1" t="s">
        <v>552</v>
      </c>
      <c r="E120" s="1" t="s">
        <v>21</v>
      </c>
      <c r="F120" s="1" t="s">
        <v>10</v>
      </c>
      <c r="G120" s="1">
        <v>1</v>
      </c>
      <c r="H120" s="1" t="s">
        <v>553</v>
      </c>
      <c r="I120" s="1" t="s">
        <v>554</v>
      </c>
    </row>
    <row r="121" ht="57.6" spans="1:9">
      <c r="A121" s="1" t="s">
        <v>493</v>
      </c>
      <c r="B121" s="1" t="s">
        <v>550</v>
      </c>
      <c r="C121" s="1" t="s">
        <v>555</v>
      </c>
      <c r="D121" s="1" t="s">
        <v>556</v>
      </c>
      <c r="E121" s="1" t="s">
        <v>20</v>
      </c>
      <c r="F121" s="1" t="s">
        <v>10</v>
      </c>
      <c r="G121" s="1">
        <v>1</v>
      </c>
      <c r="H121" s="1" t="s">
        <v>557</v>
      </c>
      <c r="I121" s="1" t="s">
        <v>558</v>
      </c>
    </row>
    <row r="122" ht="43.2" spans="1:9">
      <c r="A122" s="1" t="s">
        <v>493</v>
      </c>
      <c r="B122" s="1" t="s">
        <v>559</v>
      </c>
      <c r="C122" s="1" t="s">
        <v>560</v>
      </c>
      <c r="D122" s="1" t="s">
        <v>561</v>
      </c>
      <c r="E122" s="1" t="s">
        <v>20</v>
      </c>
      <c r="F122" s="1" t="s">
        <v>10</v>
      </c>
      <c r="G122" s="1">
        <v>1</v>
      </c>
      <c r="H122" s="1" t="s">
        <v>562</v>
      </c>
      <c r="I122" s="1" t="s">
        <v>563</v>
      </c>
    </row>
    <row r="123" ht="43.2" spans="1:9">
      <c r="A123" s="1" t="s">
        <v>493</v>
      </c>
      <c r="B123" s="1" t="s">
        <v>559</v>
      </c>
      <c r="C123" s="1" t="s">
        <v>564</v>
      </c>
      <c r="D123" s="1" t="s">
        <v>565</v>
      </c>
      <c r="E123" s="1" t="s">
        <v>21</v>
      </c>
      <c r="F123" s="1" t="s">
        <v>10</v>
      </c>
      <c r="G123" s="1">
        <v>1</v>
      </c>
      <c r="H123" s="1" t="s">
        <v>566</v>
      </c>
      <c r="I123" s="1" t="s">
        <v>567</v>
      </c>
    </row>
    <row r="124" ht="57.6" spans="1:9">
      <c r="A124" s="1" t="s">
        <v>493</v>
      </c>
      <c r="B124" s="1" t="s">
        <v>559</v>
      </c>
      <c r="C124" s="1" t="s">
        <v>568</v>
      </c>
      <c r="D124" s="1" t="s">
        <v>569</v>
      </c>
      <c r="E124" s="1" t="s">
        <v>24</v>
      </c>
      <c r="F124" s="1" t="s">
        <v>11</v>
      </c>
      <c r="G124" s="1">
        <v>3</v>
      </c>
      <c r="H124" s="1" t="s">
        <v>570</v>
      </c>
      <c r="I124" s="1" t="s">
        <v>571</v>
      </c>
    </row>
    <row r="125" ht="158.4" spans="1:9">
      <c r="A125" s="1" t="s">
        <v>493</v>
      </c>
      <c r="B125" s="1" t="s">
        <v>572</v>
      </c>
      <c r="C125" s="1" t="s">
        <v>573</v>
      </c>
      <c r="D125" s="1" t="s">
        <v>574</v>
      </c>
      <c r="E125" s="1" t="s">
        <v>24</v>
      </c>
      <c r="F125" s="1" t="s">
        <v>10</v>
      </c>
      <c r="G125" s="1">
        <v>1</v>
      </c>
      <c r="H125" s="1" t="s">
        <v>575</v>
      </c>
      <c r="I125" s="1" t="s">
        <v>576</v>
      </c>
    </row>
    <row r="126" ht="43.2" spans="1:9">
      <c r="A126" s="1" t="s">
        <v>493</v>
      </c>
      <c r="B126" s="1" t="s">
        <v>577</v>
      </c>
      <c r="C126" s="1" t="s">
        <v>578</v>
      </c>
      <c r="D126" s="1" t="s">
        <v>579</v>
      </c>
      <c r="E126" s="1" t="s">
        <v>21</v>
      </c>
      <c r="F126" s="1" t="s">
        <v>10</v>
      </c>
      <c r="G126" s="1">
        <v>1</v>
      </c>
      <c r="H126" s="1" t="s">
        <v>478</v>
      </c>
      <c r="I126" s="1" t="s">
        <v>580</v>
      </c>
    </row>
    <row r="127" ht="86.4" spans="1:9">
      <c r="A127" s="1" t="s">
        <v>493</v>
      </c>
      <c r="B127" s="1" t="s">
        <v>577</v>
      </c>
      <c r="C127" s="1" t="s">
        <v>581</v>
      </c>
      <c r="D127" s="1" t="s">
        <v>582</v>
      </c>
      <c r="E127" s="1" t="s">
        <v>21</v>
      </c>
      <c r="F127" s="1" t="s">
        <v>10</v>
      </c>
      <c r="G127" s="1">
        <v>1</v>
      </c>
      <c r="H127" s="1" t="s">
        <v>583</v>
      </c>
      <c r="I127" s="1" t="s">
        <v>584</v>
      </c>
    </row>
    <row r="128" ht="57.6" spans="1:9">
      <c r="A128" s="1" t="s">
        <v>493</v>
      </c>
      <c r="B128" s="1" t="s">
        <v>577</v>
      </c>
      <c r="C128" s="1" t="s">
        <v>585</v>
      </c>
      <c r="D128" s="1" t="s">
        <v>586</v>
      </c>
      <c r="E128" s="1" t="s">
        <v>23</v>
      </c>
      <c r="F128" s="1" t="s">
        <v>11</v>
      </c>
      <c r="G128" s="1">
        <v>3</v>
      </c>
      <c r="H128" s="1" t="s">
        <v>587</v>
      </c>
      <c r="I128" s="1" t="s">
        <v>588</v>
      </c>
    </row>
    <row r="129" ht="72" spans="1:9">
      <c r="A129" s="1" t="s">
        <v>493</v>
      </c>
      <c r="B129" s="1" t="s">
        <v>577</v>
      </c>
      <c r="C129" s="1" t="s">
        <v>589</v>
      </c>
      <c r="D129" s="1" t="s">
        <v>590</v>
      </c>
      <c r="E129" s="1" t="s">
        <v>24</v>
      </c>
      <c r="F129" s="1" t="s">
        <v>10</v>
      </c>
      <c r="G129" s="1">
        <v>1</v>
      </c>
      <c r="H129" s="1" t="s">
        <v>591</v>
      </c>
      <c r="I129" s="1" t="s">
        <v>592</v>
      </c>
    </row>
  </sheetData>
  <pageMargins left="0.75" right="0.75" top="1" bottom="1" header="0.5" footer="0.5"/>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Scorecard</vt:lpstr>
      <vt:lpstr>Detailed 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Hackerkernel</cp:lastModifiedBy>
  <dcterms:created xsi:type="dcterms:W3CDTF">2026-09-01T05:53:00Z</dcterms:created>
  <dcterms:modified xsi:type="dcterms:W3CDTF">2026-09-08T13:29:57Z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EB224F179E4144039DE51AAA4D7C31C9_12</vt:lpwstr>
  </property>
  <property fmtid="{D5CDD505-2E9C-101B-9397-08002B2CF9AE}" pid="3" name="KSOProductBuildVer">
    <vt:lpwstr>2057-12.2.0.23206</vt:lpwstr>
  </property>
</Properties>
</file>